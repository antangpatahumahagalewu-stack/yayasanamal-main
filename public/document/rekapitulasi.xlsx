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KAPITULASI" sheetId="1" state="visible" r:id="rId3"/>
    <sheet name="Asumsi &amp; Parameter" sheetId="2" state="visible" r:id="rId4"/>
    <sheet name="Karbon_Gunung_Mas" sheetId="3" state="visible" r:id="rId5"/>
    <sheet name="Karbon_Katingan" sheetId="4" state="visible" r:id="rId6"/>
    <sheet name="Karbon_Kapuas" sheetId="5" state="visible" r:id="rId7"/>
    <sheet name="Karbon_Pulang_Pisau" sheetId="6" state="visible" r:id="rId8"/>
    <sheet name="HHBK_Potensi"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<sst xmlns="http://schemas.openxmlformats.org/spreadsheetml/2006/main" count="1267" uniqueCount="403">
  <si>
    <t xml:space="preserve">REKAPITULASI POTENSI KARBON &amp; HHBK [SKENARIO PESIMISTIS] — YAYASAN ANTANGPATAHU MAHAGA LEWU</t>
  </si>
  <si>
    <t xml:space="preserve">⚠️ SKENARIO PESIMISTIS: Kedalaman gambut 2,5m | AGB mineral 160 tC/ha (hutan sekunder) | AGB PSF 100 tC/ha (degraded) | ER gambut 22 tCO₂e/ha/thn | ER mineral 7 tCO₂e/ha/thn | Buffer 25% | Leakage 15% | Net factor 60% | Harga: USD 5 / 10 / 18 per tCO₂e</t>
  </si>
  <si>
    <t xml:space="preserve">A. REKAPITULASI LUAS AREAL PERHUTANAN SOSIAL</t>
  </si>
  <si>
    <t xml:space="preserve">Kabupaten</t>
  </si>
  <si>
    <t xml:space="preserve">Jml Unit PS</t>
  </si>
  <si>
    <t xml:space="preserve">Luas Gambut (ha)</t>
  </si>
  <si>
    <t xml:space="preserve">Luas Mineral (ha)</t>
  </si>
  <si>
    <t xml:space="preserve">Total Luas (ha)</t>
  </si>
  <si>
    <t xml:space="preserve">% Gambut</t>
  </si>
  <si>
    <t xml:space="preserve">% Mineral</t>
  </si>
  <si>
    <t xml:space="preserve">Skema Dominan</t>
  </si>
  <si>
    <t xml:space="preserve">Gunung Mas</t>
  </si>
  <si>
    <t xml:space="preserve">HA</t>
  </si>
  <si>
    <t xml:space="preserve">Katingan</t>
  </si>
  <si>
    <t xml:space="preserve">LPHD</t>
  </si>
  <si>
    <t xml:space="preserve">Kapuas</t>
  </si>
  <si>
    <t xml:space="preserve">Pulang Pisau</t>
  </si>
  <si>
    <t xml:space="preserve">GRAND TOTAL</t>
  </si>
  <si>
    <t xml:space="preserve">B. REKAPITULASI CADANGAN KARBON &amp; POTENSI KREDIT KARBON (tCO₂e)</t>
  </si>
  <si>
    <t xml:space="preserve">Total Luas
(ha)</t>
  </si>
  <si>
    <t xml:space="preserve">Total Stok
Karbon
(tCO₂e)</t>
  </si>
  <si>
    <t xml:space="preserve">Stok/ha
(tCO₂e/ha)</t>
  </si>
  <si>
    <t xml:space="preserve">Gross ER
30 thn
(tCO₂e)</t>
  </si>
  <si>
    <t xml:space="preserve">Net Kredit
Karbon
(tCO₂e)</t>
  </si>
  <si>
    <t xml:space="preserve">Nilai Rendah
(USD juta)</t>
  </si>
  <si>
    <t xml:space="preserve">Nilai Menengah
(USD juta)</t>
  </si>
  <si>
    <t xml:space="preserve">Nilai Tinggi
(USD juta)</t>
  </si>
  <si>
    <t xml:space="preserve">Kredit/ha
(tCO₂e)</t>
  </si>
  <si>
    <t xml:space="preserve">Kredit/ha/thn
(tCO₂e)</t>
  </si>
  <si>
    <t xml:space="preserve">Prioritas
Investasi</t>
  </si>
  <si>
    <t xml:space="preserve">⭐⭐ MENENGAH</t>
  </si>
  <si>
    <t xml:space="preserve">4 Kabupaten</t>
  </si>
  <si>
    <t xml:space="preserve">C. PROYEKSI PENDAPATAN KREDIT KARBON — SKENARIO HARGA (30 TAHUN)</t>
  </si>
  <si>
    <t xml:space="preserve">Skenario</t>
  </si>
  <si>
    <t xml:space="preserve">Harga
(USD/tCO₂e)</t>
  </si>
  <si>
    <t xml:space="preserve">Total Net Kredit
(tCO₂e)</t>
  </si>
  <si>
    <t xml:space="preserve">Total Nilai
(USD juta)</t>
  </si>
  <si>
    <t xml:space="preserve">Nilai Kurs Rp 16.000
(Rp Miliar)</t>
  </si>
  <si>
    <t xml:space="preserve">Nilai/ha
(USD)</t>
  </si>
  <si>
    <t xml:space="preserve">Pendapatan
/thn (USD juta)</t>
  </si>
  <si>
    <t xml:space="preserve">Asumsi Kurs</t>
  </si>
  <si>
    <t xml:space="preserve">Catatan</t>
  </si>
  <si>
    <t xml:space="preserve">Rendah</t>
  </si>
  <si>
    <t xml:space="preserve">Rp 16,000</t>
  </si>
  <si>
    <t xml:space="preserve">Floor absolut VCM; proyek baru tanpa track record; buyer spot market</t>
  </si>
  <si>
    <t xml:space="preserve">Menengah</t>
  </si>
  <si>
    <t xml:space="preserve">Harga realistis VCM 2024 untuk proyek REDD+ baru di Indonesia</t>
  </si>
  <si>
    <t xml:space="preserve">Tinggi</t>
  </si>
  <si>
    <t xml:space="preserve">Premium moderat CCB/biodiversity; memerlukan sertifikasi tambahan</t>
  </si>
  <si>
    <t xml:space="preserve">D. RINGKASAN METODOLOGI (ACUAN PT. RMU / KATINGAN MENTAYA PROJECT)</t>
  </si>
  <si>
    <t xml:space="preserve">1. Alasan Skenario Pesimistis</t>
  </si>
  <si>
    <t xml:space="preserve">Unit PS Yayasan mayoritas adalah hutan sekunder/terdegradasi ringan, bukan primary forest. Area gambut umumnya di tepi daerah tangkapan, bukan kubah dalam. Tekanan deforestasi tinggi di sekitar unit. Semua parameter dipilih dari lower bound rentang ilmiah yang berlaku.</t>
  </si>
  <si>
    <t xml:space="preserve">2. Stok Karbon Biomassa</t>
  </si>
  <si>
    <t xml:space="preserve">AGB hutan mineral: 160.0 tC/ha (hutan sekunder/produksi terdegradasi ringan, IPCC lower bound). AGB PSF: 100.0 tC/ha (logged-over PSF; Leng et al. 2019 lower range). Dead wood lebih rendah karena degradasi.</t>
  </si>
  <si>
    <t xml:space="preserve">3. Stok Karbon Gambut</t>
  </si>
  <si>
    <t xml:space="preserve">Kedalaman gambut 2.5m (pesimistis: area tepi, bukan kubah) × BD 0.096 g/cm³ × CF 0.55 = 132.0 tC/ha = 484.0 tCO₂e/ha. Kedalaman 2,5m vs 4m RMU aktual Katingan inti.</t>
  </si>
  <si>
    <t xml:space="preserve">4. Emission Reduction Gambut</t>
  </si>
  <si>
    <t xml:space="preserve">Net ER 22.0 tCO₂e/ha/thn. Dasar: avoided drainage ~55 tCO₂e + avoided fire ~8 tCO₂e dikurangi baseline uncertainty (-25%), additionality deduction (-10%), dan permanence risk. RMU sensitivity analysis floor ~20 tCO₂e/ha/thn untuk area marginal.</t>
  </si>
  <si>
    <t xml:space="preserve">5. Emission Reduction Mineral</t>
  </si>
  <si>
    <t xml:space="preserve">Net ER 7.0 tCO₂e/ha/thn. Hutan sekunder dengan baseline deforestasi lebih rendah dari primary forest. Additionality lebih sulit dibuktikan untuk area terdegradasi.</t>
  </si>
  <si>
    <t xml:space="preserve">6. Buffer Pool — 25%</t>
  </si>
  <si>
    <t xml:space="preserve">25% dari gross ER masuk buffer pool. Lebih tinggi dari RMU aktual (20-24%) karena unit PS baru belum terbukti track record monitoring, risiko kebakaran, dan governance lebih tinggi.</t>
  </si>
  <si>
    <t xml:space="preserve">7. Leakage — 15%</t>
  </si>
  <si>
    <t xml:space="preserve">15% activity-shifting leakage. Tekanan deforestasi tinggi di Kalimantan Tengah: jika satu area dilindungi, deforestasi bisa bergeser ke area tetangga. VCS VM0007 memperbolehkan 10-20%.</t>
  </si>
  <si>
    <t xml:space="preserve">8. Net Credit Factor</t>
  </si>
  <si>
    <t xml:space="preserve">Net = 1 - 25% - 15% = 60%. Artinya hanya 60% dari gross ER yang dapat dijual di pasar.</t>
  </si>
  <si>
    <t xml:space="preserve">9. Harga Karbon Pesimistis</t>
  </si>
  <si>
    <t xml:space="preserve">USD 5/tCO₂e (floor spot VCM), USD 10 (mid realistis 2024), USD 18 (premium CCB). Ecosystem Marketplace 2024: rata-rata REDD+ Indonesia USD 7-12. Premium biodiversity USD 15-25 hanya untuk proyek tersertifikasi CCB Gold + VCS.</t>
  </si>
  <si>
    <t xml:space="preserve">10. Catatan Penting</t>
  </si>
  <si>
    <t xml:space="preserve">Estimasi ini adalah lower bound yang konservatif. Nilai aktual bisa lebih tinggi jika: (a) survei lapang mengkonfirmasi kedalaman gambut &gt;3m, (b) tutupan kanopi &gt;70% diverifikasi, (c) unit mendapat sertifikasi CCB. Diperlukan studi FS karbon sebelum negosiasi dengan buyer.</t>
  </si>
  <si>
    <t xml:space="preserve">E. REKAPITULASI POTENSI HASIL HUTAN BUKAN KAYU (HHBK)</t>
  </si>
  <si>
    <t xml:space="preserve">HHBK Dominan</t>
  </si>
  <si>
    <t xml:space="preserve">Nilai Estimasi
(Rp/thn)</t>
  </si>
  <si>
    <t xml:space="preserve">Nilai
(Rp Miliar/thn)</t>
  </si>
  <si>
    <t xml:space="preserve">Nilai/ha
(Rp/thn)</t>
  </si>
  <si>
    <t xml:space="preserve">Nilai/thn
(Rp Miliar)</t>
  </si>
  <si>
    <t xml:space="preserve">Rotan, Gaharu, Madu, Jernang, Tengkawang</t>
  </si>
  <si>
    <t xml:space="preserve">Estimasi konservatif 70% potensi teoritis. Sumber: Dirjen PHPL 2019; Balitbang KLHK.</t>
  </si>
  <si>
    <t xml:space="preserve">Purun Tikus, Jelutung, Ikan Rawa</t>
  </si>
  <si>
    <t xml:space="preserve">Purun, Jelutung, Ikan; Rotan, Gaharu (mineral)</t>
  </si>
  <si>
    <t xml:space="preserve">Rotan, Gaharu, Madu, Jernang, Purun, Jelutung, Ikan, Tengkawang</t>
  </si>
  <si>
    <t xml:space="preserve">4 Kabupaten — 91 Unit PS</t>
  </si>
  <si>
    <t xml:space="preserve">PARAMETER &amp; ASUMSI METODOLOGI KARBON [SKENARIO PESIMISTIS] — YAYASAN ANTANGPATAHU MAHAGA LEWU</t>
  </si>
  <si>
    <t xml:space="preserve">Mengacu: Katingan Mentaya Project VCS PDD v5.0 (PT. RMU) | IPCC 2006 GL &amp; Wetlands Supplement 2014 | Warren et al. 2017 | Murdiyarso et al. 2015 | Page et al. 2011</t>
  </si>
  <si>
    <t xml:space="preserve">PARAMETER</t>
  </si>
  <si>
    <t xml:space="preserve">NILAI</t>
  </si>
  <si>
    <t xml:space="preserve">SATUAN</t>
  </si>
  <si>
    <t xml:space="preserve">KETERANGAN</t>
  </si>
  <si>
    <t xml:space="preserve">SUMBER</t>
  </si>
  <si>
    <t xml:space="preserve">NILAI MIN (lebih pesimistis)</t>
  </si>
  <si>
    <t xml:space="preserve">NILAI MAKS (optimistis)</t>
  </si>
  <si>
    <t xml:space="preserve">── HUTAN LAHAN MINERAL ──</t>
  </si>
  <si>
    <t xml:space="preserve">AGB Biomassa Mineral (hutan sekunder/produksi)</t>
  </si>
  <si>
    <t xml:space="preserve">tC/ha</t>
  </si>
  <si>
    <t xml:space="preserve">Hutan sekunder/produksi terdegradasi ringan. Bukan primary forest. IPCC lower bound Indonesia.</t>
  </si>
  <si>
    <t xml:space="preserve">IPCC 2006 Tier 1 lower; Samalca 2007; Langner et al. 2012</t>
  </si>
  <si>
    <t xml:space="preserve">Root-to-Shoot Ratio (Mineral)</t>
  </si>
  <si>
    <t xml:space="preserve">ratio</t>
  </si>
  <si>
    <t xml:space="preserve">Tetap IPCC 2006 standard</t>
  </si>
  <si>
    <t xml:space="preserve">IPCC 2006 T 4.4</t>
  </si>
  <si>
    <t xml:space="preserve">Dead Wood Fraction (Mineral)</t>
  </si>
  <si>
    <t xml:space="preserve">fraksi AGB</t>
  </si>
  <si>
    <t xml:space="preserve">Lebih rendah krn degradasi logging mengurangi standing dead wood</t>
  </si>
  <si>
    <t xml:space="preserve">IPCC 2006; CIFOR Kalimantan</t>
  </si>
  <si>
    <t xml:space="preserve">Litter Fraction (Mineral)</t>
  </si>
  <si>
    <t xml:space="preserve">Sedikit lebih rendah dari primary forest</t>
  </si>
  <si>
    <t xml:space="preserve">IPCC 2006</t>
  </si>
  <si>
    <t xml:space="preserve">SOC 0-30cm (Mineral)</t>
  </si>
  <si>
    <t xml:space="preserve">SOC lebih rendah, sebagian terganggu oleh kegiatan logging historis</t>
  </si>
  <si>
    <t xml:space="preserve">IPCC 2006; BRG 2016 monitoring data</t>
  </si>
  <si>
    <t xml:space="preserve">Total C Stock Mineral</t>
  </si>
  <si>
    <t xml:space="preserve">AGB+BGB+DW+Litter+SOC (pesimistis)</t>
  </si>
  <si>
    <t xml:space="preserve">Kalkulasi composite</t>
  </si>
  <si>
    <t xml:space="preserve">Total CO₂e Stock Mineral</t>
  </si>
  <si>
    <t xml:space="preserve">tCO₂e/ha</t>
  </si>
  <si>
    <t xml:space="preserve">×3.667</t>
  </si>
  <si>
    <t xml:space="preserve">IPCC conversion</t>
  </si>
  <si>
    <t xml:space="preserve">Emission Reduction Mineral (avoided deforestation)</t>
  </si>
  <si>
    <t xml:space="preserve">tCO₂e/ha/thn</t>
  </si>
  <si>
    <t xml:space="preserve">Hutan sekunder: baseline deforestasi lebih rendah, additionality lebih sulit. Lower bound REDD+.</t>
  </si>
  <si>
    <t xml:space="preserve">RMU sensitivity; Griscom et al. 2017 pessimistic NCS</t>
  </si>
  <si>
    <t xml:space="preserve">Sequestration Mineral Forest</t>
  </si>
  <si>
    <t xml:space="preserve">Net sink hutan sekunder terlindungi — lebih rendah dari primary</t>
  </si>
  <si>
    <t xml:space="preserve">IPCC NFI; Bonan 2008 lower</t>
  </si>
  <si>
    <t xml:space="preserve">── HUTAN RAWA GAMBUT (PSF) ──</t>
  </si>
  <si>
    <t xml:space="preserve">Kedalaman Gambut [PESIMISTIS]</t>
  </si>
  <si>
    <t xml:space="preserve">m</t>
  </si>
  <si>
    <t xml:space="preserve">Area PS di tepi daerah tangkapan, bukan kubah gambut dalam. RMU Katingan inti ~4-4.5m, area marginal ~2-3m.</t>
  </si>
  <si>
    <t xml:space="preserve">RMU PDD v5.0; Page et al. 2011; BRG survei 2019</t>
  </si>
  <si>
    <t xml:space="preserve">Bulk Density Gambut</t>
  </si>
  <si>
    <t xml:space="preserve">g/cm³</t>
  </si>
  <si>
    <t xml:space="preserve">Tetap — data empiris cukup konsisten untuk gambut tropik</t>
  </si>
  <si>
    <t xml:space="preserve">Warren et al. 2017; Hooijer et al. 2010</t>
  </si>
  <si>
    <t xml:space="preserve">Carbon Fraction Gambut [PESIMISTIS]</t>
  </si>
  <si>
    <t xml:space="preserve">fraksi dry mass</t>
  </si>
  <si>
    <t xml:space="preserve">Sedikit lebih rendah dari nilai Warren — gambut tepi umumnya lebih mineral</t>
  </si>
  <si>
    <t xml:space="preserve">Warren et al. 2017 lower; Page et al. 2011</t>
  </si>
  <si>
    <t xml:space="preserve">Stok Karbon Gambut</t>
  </si>
  <si>
    <t xml:space="preserve">250.0cm × 0.096 × 0.55 × 10</t>
  </si>
  <si>
    <t xml:space="preserve">Formula IPCC Tier 2</t>
  </si>
  <si>
    <t xml:space="preserve">Stok Karbon Gambut (CO₂e)</t>
  </si>
  <si>
    <t xml:space="preserve">AGB PSF [PESIMISTIS — logged-over]</t>
  </si>
  <si>
    <t xml:space="preserve">Logged-over/degraded PSF. Lebih rendah dari intact PSF (140-160 tC/ha).</t>
  </si>
  <si>
    <t xml:space="preserve">Leng et al. 2019 lower; Verwer &amp; van der Meer 2010 degraded scenario</t>
  </si>
  <si>
    <t xml:space="preserve">Root-to-Shoot Ratio (PSF)</t>
  </si>
  <si>
    <t xml:space="preserve">Tetap — tidak berubah signifikan antara intact vs degraded</t>
  </si>
  <si>
    <t xml:space="preserve">IPCC 2006; Comeau et al. 2013</t>
  </si>
  <si>
    <t xml:space="preserve">Biomassa Total PSF (CO₂e)</t>
  </si>
  <si>
    <t xml:space="preserve">AGB×(1+BGB+DW+Litter)×3.667</t>
  </si>
  <si>
    <t xml:space="preserve">TOTAL Stok Karbon Gambut+Biomassa</t>
  </si>
  <si>
    <t xml:space="preserve">Peat stock + PSF biomass (pesimistis)</t>
  </si>
  <si>
    <t xml:space="preserve">ER Gambut — Avoided Drainage</t>
  </si>
  <si>
    <t xml:space="preserve">Lebih rendah dari IPCC 2014 (75) karena gambut dangkal memancarkan lebih sedikit</t>
  </si>
  <si>
    <t xml:space="preserve">IPCC 2014 Wetlands lower; Hooijer et al. 2010 shallow peat</t>
  </si>
  <si>
    <t xml:space="preserve">ER Gambut — Avoided Fire</t>
  </si>
  <si>
    <t xml:space="preserve">Weighted probability kebakaran lebih rendah untuk PSF yang masih relatif basah</t>
  </si>
  <si>
    <t xml:space="preserve">van der Werf et al. 2008; RMU fire module pessimistic</t>
  </si>
  <si>
    <t xml:space="preserve">Net ER Gambut [PESIMISTIS]</t>
  </si>
  <si>
    <t xml:space="preserve">Floor RMU sensitivity analysis untuk area marginal. Setelah uncertainty (-25%), additionality (-10%), permanence.</t>
  </si>
  <si>
    <t xml:space="preserve">RMU PDD v5.0 sensitivity; VCS VM0007 lower scenario</t>
  </si>
  <si>
    <t xml:space="preserve">Sequestration PSF</t>
  </si>
  <si>
    <t xml:space="preserve">Net uptake PSF terlindungi — lower bound</t>
  </si>
  <si>
    <t xml:space="preserve">IPCC; Chimner &amp; Ewel 2005 lower</t>
  </si>
  <si>
    <t xml:space="preserve">── PARAMETER VCS / PASAR KARBON ──</t>
  </si>
  <si>
    <t xml:space="preserve">Horizon Proyek</t>
  </si>
  <si>
    <t xml:space="preserve">tahun</t>
  </si>
  <si>
    <t xml:space="preserve">Standard VCS REDD+</t>
  </si>
  <si>
    <t xml:space="preserve">VCS Standard v4.0</t>
  </si>
  <si>
    <t xml:space="preserve">Buffer Pool Deduction [PESIMISTIS]</t>
  </si>
  <si>
    <t xml:space="preserve">25%</t>
  </si>
  <si>
    <t xml:space="preserve">% gross ER</t>
  </si>
  <si>
    <t xml:space="preserve">Lebih tinggi dari RMU aktual (20-24%) karena unit baru, belum ada track record monitoring, governance risk tinggi</t>
  </si>
  <si>
    <t xml:space="preserve">VCS AFOLU NPR Tool; RMU risk score upper</t>
  </si>
  <si>
    <t xml:space="preserve">20%</t>
  </si>
  <si>
    <t xml:space="preserve">35%</t>
  </si>
  <si>
    <t xml:space="preserve">Leakage Deduction [PESIMISTIS]</t>
  </si>
  <si>
    <t xml:space="preserve">15%</t>
  </si>
  <si>
    <t xml:space="preserve">Tekanan deforestasi tinggi di Kalteng: activity-shifting leakage signifikan. VCS VM0007 mengizinkan 5-20%.</t>
  </si>
  <si>
    <t xml:space="preserve">VCS VM0007; RMU PDD upper leakage scenario</t>
  </si>
  <si>
    <t xml:space="preserve">10%</t>
  </si>
  <si>
    <t xml:space="preserve">Net Credit Factor [PESIMISTIS]</t>
  </si>
  <si>
    <t xml:space="preserve">60%</t>
  </si>
  <si>
    <t xml:space="preserve">% dari gross ER</t>
  </si>
  <si>
    <t xml:space="preserve">1 - 25% - 15% = 60%</t>
  </si>
  <si>
    <t xml:space="preserve">Kalkulasi</t>
  </si>
  <si>
    <t xml:space="preserve">Harga Karbon — Floor (VCM spot)</t>
  </si>
  <si>
    <t xml:space="preserve">USD/tCO₂e</t>
  </si>
  <si>
    <t xml:space="preserve">Floor absolut pasar sukarela; proyek tanpa track record; spot market</t>
  </si>
  <si>
    <t xml:space="preserve">Ecosystem Marketplace 2024; BeZero Carbon</t>
  </si>
  <si>
    <t xml:space="preserve">Harga Karbon — Mid Realistis</t>
  </si>
  <si>
    <t xml:space="preserve">Harga realistis VCM 2024 untuk proyek REDD+ baru Indonesia</t>
  </si>
  <si>
    <t xml:space="preserve">Verra VCS Registry; Ecosystem Marketplace 2024 REDD+ avg</t>
  </si>
  <si>
    <t xml:space="preserve">Harga Karbon — Premium Moderat</t>
  </si>
  <si>
    <t xml:space="preserve">Premium CCB/biodiversity moderat. Memerlukan sertifikasi tambahan CCB Gold.</t>
  </si>
  <si>
    <t xml:space="preserve">REDD+ CCB projects 2023-2024; South Pole market data</t>
  </si>
  <si>
    <t xml:space="preserve">── KONVERSI UNIT ──</t>
  </si>
  <si>
    <t xml:space="preserve">Faktor Konversi C→CO₂</t>
  </si>
  <si>
    <t xml:space="preserve">tCO₂/tC</t>
  </si>
  <si>
    <t xml:space="preserve">Molar mass CO₂(44) / C(12) = 3.667</t>
  </si>
  <si>
    <t xml:space="preserve">IPCC</t>
  </si>
  <si>
    <t xml:space="preserve">CADANGAN KARBON &amp; POTENSI KREDIT KARBON — GUNUNG MAS [SKENARIO PESIMISTIS]</t>
  </si>
  <si>
    <t xml:space="preserve">Metodologi: VCS REDD+ (mengacu Katingan Mentaya Project / PT. RMU) | IPCC 2006 &amp; Wetlands Supplement 2014 | Warren et al. 2017 | Murdiyarso et al. 2015</t>
  </si>
  <si>
    <t xml:space="preserve">Kabupaten: Gunung Mas  |  Update: 06 Januari 2026  |  Parameter Gambut: kedalaman 2.5m, BD 0.096 g/cm³, CF 0.55  |  Buffer Pool Deduction: 25%  |  Leakage: 15%  |  Horizon Proyek: 30 thn</t>
  </si>
  <si>
    <t xml:space="preserve">No.</t>
  </si>
  <si>
    <t xml:space="preserve">Skema</t>
  </si>
  <si>
    <t xml:space="preserve">Pemegang Izin</t>
  </si>
  <si>
    <t xml:space="preserve">Desa/Lokasi</t>
  </si>
  <si>
    <t xml:space="preserve">Luas SK (ha)</t>
  </si>
  <si>
    <t xml:space="preserve">Jenis Hutan</t>
  </si>
  <si>
    <t xml:space="preserve">Stok Karbon
Biomassa
(tCO₂e/ha)</t>
  </si>
  <si>
    <t xml:space="preserve">Stok Karbon
Gambut/SOC
(tCO₂e/ha)</t>
  </si>
  <si>
    <t xml:space="preserve">Total Stok
Karbon
(tCO₂e/ha)</t>
  </si>
  <si>
    <t xml:space="preserve">TOTAL STOK
KARBON
(tCO₂e)</t>
  </si>
  <si>
    <t xml:space="preserve">Emisi
Terhindari
(tCO₂e/ha/thn)</t>
  </si>
  <si>
    <t xml:space="preserve">Net Kredit
(setelah
buffer+leakage)
tCO₂e</t>
  </si>
  <si>
    <t xml:space="preserve">Harga
Rendah
(USD 5)</t>
  </si>
  <si>
    <t xml:space="preserve">Harga
Menengah
(USD 10)</t>
  </si>
  <si>
    <t xml:space="preserve">Harga
Tinggi
(USD 18)</t>
  </si>
  <si>
    <t xml:space="preserve">Potensi
Sekuestrasi
(tCO₂e/ha/thn)</t>
  </si>
  <si>
    <t xml:space="preserve">Potensi
Sekuestrasi
30 thn (tCO₂e)</t>
  </si>
  <si>
    <t xml:space="preserve">Keterangan
Metode</t>
  </si>
  <si>
    <t xml:space="preserve">HKM</t>
  </si>
  <si>
    <t xml:space="preserve">BATU BULAN</t>
  </si>
  <si>
    <t xml:space="preserve">TUSANG RAYA</t>
  </si>
  <si>
    <t xml:space="preserve">Mineral</t>
  </si>
  <si>
    <t xml:space="preserve">PESIMISTIS | Mineral sekunder: AGB 160.0 tC/ha (hutan produksi/sekunder); SOC 45.0 tC/ha; Net ER 7.0 tCO₂e/ha/thn; Buffer 25%+Leak 15%</t>
  </si>
  <si>
    <t xml:space="preserve">HAPAKAT MAHAGA HIMBA</t>
  </si>
  <si>
    <t xml:space="preserve">BATU PUTER</t>
  </si>
  <si>
    <t xml:space="preserve">KARATAN SARIAN</t>
  </si>
  <si>
    <t xml:space="preserve">RABAMBANG</t>
  </si>
  <si>
    <t xml:space="preserve">RANGAN HIRAN</t>
  </si>
  <si>
    <t xml:space="preserve">LAWANG KANJI</t>
  </si>
  <si>
    <t xml:space="preserve">TUMBANG MARAYA</t>
  </si>
  <si>
    <t xml:space="preserve">TBG. MARAYA</t>
  </si>
  <si>
    <t xml:space="preserve">DAYAK NGAJU TUMBANG KUAYAN</t>
  </si>
  <si>
    <t xml:space="preserve">TUMBANG KUAYAN</t>
  </si>
  <si>
    <t xml:space="preserve">MHA DAYAK OT DANUM LOWU KARETAU RAMBANGUN</t>
  </si>
  <si>
    <t xml:space="preserve">KARETAU RAMBANGUN</t>
  </si>
  <si>
    <t xml:space="preserve">MHA DAYAK OT DANUM LOWU TUMBANG ANOI</t>
  </si>
  <si>
    <t xml:space="preserve">TUMBANG ANOI</t>
  </si>
  <si>
    <t xml:space="preserve">DAYAK OT DANUM</t>
  </si>
  <si>
    <t xml:space="preserve">TUMBANG MARIKOI</t>
  </si>
  <si>
    <t xml:space="preserve">DAYAK NGAJU LEWU TUMBANG HATUNG</t>
  </si>
  <si>
    <t xml:space="preserve">TUMBANG HATUNG</t>
  </si>
  <si>
    <t xml:space="preserve">DAYAK OT DANUM TBG.MARAYA</t>
  </si>
  <si>
    <t xml:space="preserve">TBG. JALEMU</t>
  </si>
  <si>
    <t xml:space="preserve">DAYAK OT DANUM LOWU KARATAU SARIAN</t>
  </si>
  <si>
    <t xml:space="preserve">KARATAU SARIAN</t>
  </si>
  <si>
    <t xml:space="preserve">HAROWU</t>
  </si>
  <si>
    <t xml:space="preserve">DAYAK NGAJU LEWU TUMBANG BAHANEI</t>
  </si>
  <si>
    <t xml:space="preserve">TUMBNG.BAHANEI</t>
  </si>
  <si>
    <t xml:space="preserve">TBG.LAPAN BERKARYA</t>
  </si>
  <si>
    <t xml:space="preserve">TUMBANG LAPAN</t>
  </si>
  <si>
    <t xml:space="preserve">DAYAK OT DANUM LOWU TUMBANG POSU</t>
  </si>
  <si>
    <t xml:space="preserve">TBG. POSU</t>
  </si>
  <si>
    <t xml:space="preserve">HTR</t>
  </si>
  <si>
    <t xml:space="preserve">SEI ANTAI PARANG KAPAKAT</t>
  </si>
  <si>
    <t xml:space="preserve">SEI ANTAI</t>
  </si>
  <si>
    <t xml:space="preserve">DAYAK OT DANUM LOWU LAWANG KANJI</t>
  </si>
  <si>
    <t xml:space="preserve">TUWE BERSAMA MAJU</t>
  </si>
  <si>
    <t xml:space="preserve">TUMBANG TUWE</t>
  </si>
  <si>
    <t xml:space="preserve">DAYAK NGAJU LEWU TUMBANG MALAHOY</t>
  </si>
  <si>
    <t xml:space="preserve">TUMBANG MALAHOI</t>
  </si>
  <si>
    <t xml:space="preserve">DAYAK OT DANUM HIMBA ANTANG TAMBUN TIANG BUNGAI</t>
  </si>
  <si>
    <t xml:space="preserve">RANGAN HIRAN,HAROWU,MASUKIIH</t>
  </si>
  <si>
    <t xml:space="preserve">DAYAK OT DANUM LOWU TUMBANG MOHUROI</t>
  </si>
  <si>
    <t xml:space="preserve">TUMBANG.MAHUROI</t>
  </si>
  <si>
    <t xml:space="preserve">MIAR HAYAK</t>
  </si>
  <si>
    <t xml:space="preserve">MANGKAWUK</t>
  </si>
  <si>
    <t xml:space="preserve">ANOI SANGKUWAK</t>
  </si>
  <si>
    <t xml:space="preserve">TBG.ANOI</t>
  </si>
  <si>
    <t xml:space="preserve">SOPAN LAWANG BULAN</t>
  </si>
  <si>
    <t xml:space="preserve">TBG.MAHUROI</t>
  </si>
  <si>
    <t xml:space="preserve">JAGA ASANG</t>
  </si>
  <si>
    <t xml:space="preserve">TBG.POSU</t>
  </si>
  <si>
    <t xml:space="preserve">KAPAKAT KELUARGA</t>
  </si>
  <si>
    <t xml:space="preserve">TBG.TALAKEN</t>
  </si>
  <si>
    <t xml:space="preserve">MARIKOI HAPAKAT</t>
  </si>
  <si>
    <t xml:space="preserve">TBG.MARIKOI</t>
  </si>
  <si>
    <t xml:space="preserve">BUKIT BATU</t>
  </si>
  <si>
    <t xml:space="preserve">JANGKIT</t>
  </si>
  <si>
    <t xml:space="preserve">RUNGAN</t>
  </si>
  <si>
    <t xml:space="preserve">MUNGKU BARU</t>
  </si>
  <si>
    <t xml:space="preserve">IUPHHK</t>
  </si>
  <si>
    <t xml:space="preserve">KUD RIAK SIMIN</t>
  </si>
  <si>
    <t xml:space="preserve">SEPANG SIMIN</t>
  </si>
  <si>
    <t xml:space="preserve">IUPHKm</t>
  </si>
  <si>
    <t xml:space="preserve">KELOMPOK TANI HUTAN LESTARI</t>
  </si>
  <si>
    <t xml:space="preserve">TUMBANG MIWAN</t>
  </si>
  <si>
    <t xml:space="preserve">SUB TOTAL — Gunung Mas</t>
  </si>
  <si>
    <t xml:space="preserve">CADANGAN KARBON &amp; POTENSI KREDIT KARBON — KATINGAN [SKENARIO PESIMISTIS]</t>
  </si>
  <si>
    <t xml:space="preserve">Kabupaten: Katingan  |  Update: 06 Januari 2026  |  Parameter Gambut: kedalaman 2.5m, BD 0.096 g/cm³, CF 0.55  |  Buffer Pool Deduction: 25%  |  Leakage: 15%  |  Horizon Proyek: 30 thn</t>
  </si>
  <si>
    <t xml:space="preserve">GAPOKTAN KAPAKAT ATEI</t>
  </si>
  <si>
    <t xml:space="preserve">TBNG.RUNEN,JAHANJANG,KERUING,PARUPUK,TELAGA</t>
  </si>
  <si>
    <t xml:space="preserve">Gambut</t>
  </si>
  <si>
    <t xml:space="preserve">PESIMISTIS | Gambut degraded: PSF 100.0 tC/ha AGB; Gambut 2.5m × BD 0.096 × CF 0.55; Net ER 22.0 tCO₂e/ha/thn; Buffer 25%+Leak 15%</t>
  </si>
  <si>
    <t xml:space="preserve">RUNEN TATAU</t>
  </si>
  <si>
    <t xml:space="preserve">TUMBANG RUNEN</t>
  </si>
  <si>
    <t xml:space="preserve">PANDINU PANTIS EBES</t>
  </si>
  <si>
    <t xml:space="preserve">PARUPUK</t>
  </si>
  <si>
    <t xml:space="preserve">HIMBA PANATAU LEWU</t>
  </si>
  <si>
    <t xml:space="preserve">GALINGGGANG</t>
  </si>
  <si>
    <t xml:space="preserve">JALAN PANGEN</t>
  </si>
  <si>
    <t xml:space="preserve">BAUN BANGO</t>
  </si>
  <si>
    <t xml:space="preserve">KAHANJAK ATEI</t>
  </si>
  <si>
    <t xml:space="preserve">ASEM KUMBANG</t>
  </si>
  <si>
    <t xml:space="preserve">KERUENG HAPAKAT</t>
  </si>
  <si>
    <t xml:space="preserve">KERUING</t>
  </si>
  <si>
    <t xml:space="preserve">LAPAK TAHETA</t>
  </si>
  <si>
    <t xml:space="preserve">JAHANJANG</t>
  </si>
  <si>
    <t xml:space="preserve">KATINGAN MANUAH</t>
  </si>
  <si>
    <t xml:space="preserve">TALIAN KERENG</t>
  </si>
  <si>
    <t xml:space="preserve">LPHD HIYANG BANA</t>
  </si>
  <si>
    <t xml:space="preserve">HIYANG BANA</t>
  </si>
  <si>
    <t xml:space="preserve">LPHD TUMBANG BULAN</t>
  </si>
  <si>
    <t xml:space="preserve">TUMBANG BULAN</t>
  </si>
  <si>
    <t xml:space="preserve">LPHD HIMBA HARAPAN ITAH</t>
  </si>
  <si>
    <t xml:space="preserve">TELUK SEBULU</t>
  </si>
  <si>
    <t xml:space="preserve">LPHD MELAYU HIMBA BAHALAP</t>
  </si>
  <si>
    <t xml:space="preserve">KAMPUNG MELAYU</t>
  </si>
  <si>
    <t xml:space="preserve">LPHD MANGGATANG PANATAU</t>
  </si>
  <si>
    <t xml:space="preserve">TEWANG KAMPUNG</t>
  </si>
  <si>
    <t xml:space="preserve">LPHD PERIGI JAYA BERSAMA</t>
  </si>
  <si>
    <t xml:space="preserve">PERIGI</t>
  </si>
  <si>
    <t xml:space="preserve">SUB TOTAL — Katingan</t>
  </si>
  <si>
    <t xml:space="preserve">CADANGAN KARBON &amp; POTENSI KREDIT KARBON — KAPUAS [SKENARIO PESIMISTIS]</t>
  </si>
  <si>
    <t xml:space="preserve">Kabupaten: Kapuas  |  Update: 06 Januari 2026  |  Parameter Gambut: kedalaman 2.5m, BD 0.096 g/cm³, CF 0.55  |  Buffer Pool Deduction: 25%  |  Leakage: 15%  |  Horizon Proyek: 30 thn</t>
  </si>
  <si>
    <t xml:space="preserve">GAPOKTAN TUMBANG MUROI</t>
  </si>
  <si>
    <t xml:space="preserve">TUMBANG MUROI</t>
  </si>
  <si>
    <t xml:space="preserve">IJE ATEI</t>
  </si>
  <si>
    <t xml:space="preserve">PULAU KALADAN</t>
  </si>
  <si>
    <t xml:space="preserve">KTH RIMBA LESTARI</t>
  </si>
  <si>
    <t xml:space="preserve">MANTANGAI TENGAH</t>
  </si>
  <si>
    <t xml:space="preserve">SEI AHAS</t>
  </si>
  <si>
    <t xml:space="preserve">BEROK TUNGGAL</t>
  </si>
  <si>
    <t xml:space="preserve">TERUSAN RAYA</t>
  </si>
  <si>
    <t xml:space="preserve">DANAU BAGANTUNG</t>
  </si>
  <si>
    <t xml:space="preserve">MANTANGAI HULU</t>
  </si>
  <si>
    <t xml:space="preserve">MANGKUTUP MANDIRI</t>
  </si>
  <si>
    <t xml:space="preserve">TBG.MANGKUTUP</t>
  </si>
  <si>
    <t xml:space="preserve">PELITA MUDA</t>
  </si>
  <si>
    <t xml:space="preserve">TAMBAK BAJAI</t>
  </si>
  <si>
    <t xml:space="preserve">TAMPUNG PENYANG</t>
  </si>
  <si>
    <t xml:space="preserve">KATUNJUNG</t>
  </si>
  <si>
    <t xml:space="preserve">PETAK PUTI / TAMBUN BAPUTI</t>
  </si>
  <si>
    <t xml:space="preserve">PETAK PUTI</t>
  </si>
  <si>
    <t xml:space="preserve">ALAU</t>
  </si>
  <si>
    <t xml:space="preserve">KOTA BARU</t>
  </si>
  <si>
    <t xml:space="preserve">HARAPAN BARU</t>
  </si>
  <si>
    <t xml:space="preserve">SEI GITA</t>
  </si>
  <si>
    <t xml:space="preserve">HKM BERKARYA TAMANG HAPAKAT</t>
  </si>
  <si>
    <t xml:space="preserve">LAWANG TAMANG</t>
  </si>
  <si>
    <t xml:space="preserve">TUMBANG TIHIS</t>
  </si>
  <si>
    <t xml:space="preserve">TBG.TIHIS</t>
  </si>
  <si>
    <t xml:space="preserve">BATANG PAMBELOM</t>
  </si>
  <si>
    <t xml:space="preserve">RAHUNG BUNGAI</t>
  </si>
  <si>
    <t xml:space="preserve">LESTARI HUTAN KATANJUNG II</t>
  </si>
  <si>
    <t xml:space="preserve">KATANJUNG</t>
  </si>
  <si>
    <t xml:space="preserve">SUMBER REZEKI</t>
  </si>
  <si>
    <t xml:space="preserve">TBG.MANYARUNG</t>
  </si>
  <si>
    <t xml:space="preserve">TUMBANG MANYARUNG</t>
  </si>
  <si>
    <t xml:space="preserve">KOPERASI BETANG TALAWANG</t>
  </si>
  <si>
    <t xml:space="preserve">HTR BUKOI MAJU BERSAMA</t>
  </si>
  <si>
    <t xml:space="preserve">BUKOI</t>
  </si>
  <si>
    <t xml:space="preserve">HTR MANTA'A HAPAKAT</t>
  </si>
  <si>
    <t xml:space="preserve">KARETAU MANTA'A</t>
  </si>
  <si>
    <t xml:space="preserve">SUB TOTAL — Kapuas</t>
  </si>
  <si>
    <t xml:space="preserve">CADANGAN KARBON &amp; POTENSI KREDIT KARBON — PULANG PISAU [SKENARIO PESIMISTIS]</t>
  </si>
  <si>
    <t xml:space="preserve">Kabupaten: Pulang Pisau  |  Update: 06 Januari 2026  |  Parameter Gambut: kedalaman 2.5m, BD 0.096 g/cm³, CF 0.55  |  Buffer Pool Deduction: 25%  |  Leakage: 15%  |  Horizon Proyek: 30 thn</t>
  </si>
  <si>
    <t xml:space="preserve">BUNTOI</t>
  </si>
  <si>
    <t xml:space="preserve">GAPOKTAN BUNTOI</t>
  </si>
  <si>
    <t xml:space="preserve">GAPOKTAN SENGON</t>
  </si>
  <si>
    <t xml:space="preserve">KALAWA</t>
  </si>
  <si>
    <t xml:space="preserve">TUWUNG</t>
  </si>
  <si>
    <t xml:space="preserve">SIGI</t>
  </si>
  <si>
    <t xml:space="preserve">BUKIT BAMBA</t>
  </si>
  <si>
    <t xml:space="preserve">PAMARUNAN</t>
  </si>
  <si>
    <t xml:space="preserve">BAHU PALAWA</t>
  </si>
  <si>
    <t xml:space="preserve">PETUK LITI</t>
  </si>
  <si>
    <t xml:space="preserve">BALUKON</t>
  </si>
  <si>
    <t xml:space="preserve">PARAHANGAN</t>
  </si>
  <si>
    <t xml:space="preserve">TAHAWA</t>
  </si>
  <si>
    <t xml:space="preserve">TUMBANG TARUSAN</t>
  </si>
  <si>
    <t xml:space="preserve">BULIT LITI</t>
  </si>
  <si>
    <t xml:space="preserve">BAWAN</t>
  </si>
  <si>
    <t xml:space="preserve">MARANG</t>
  </si>
  <si>
    <t xml:space="preserve">SUB TOTAL — Pulang Pisau</t>
  </si>
  <si>
    <t xml:space="preserve">POTENSI HASIL HUTAN BUKAN KAYU (HHBK) — SEMUA UNIT PERHUTANAN SOSIAL</t>
  </si>
  <si>
    <t xml:space="preserve">Estimasi berdasarkan: Studi produktivitas KPHP Kalimantan (Dirjen PHPL 2019); Balitbang KLHK; data lapang Yayasan. Nilai konservatif 70% potensi teoritis.</t>
  </si>
  <si>
    <t xml:space="preserve">Harga referensi: Rotan Rp 8.000/kg | Gaharu A Rp 2.500.000/kg | Madu Rp 120.000/liter | Jernang Rp 450.000/kg | Tengkawang Rp 15.000/kg | Purun Rp 3.000/kg | Jelutung Rp 18.000/liter | Ikan Rp 35.000/kg</t>
  </si>
  <si>
    <t xml:space="preserve">Luas (ha)</t>
  </si>
  <si>
    <t xml:space="preserve">Rotan
(kg/thn)</t>
  </si>
  <si>
    <t xml:space="preserve">Gaharu
(kg/thn)</t>
  </si>
  <si>
    <t xml:space="preserve">Madu Hutan
(liter/thn)</t>
  </si>
  <si>
    <t xml:space="preserve">Jernang
(kg/thn)</t>
  </si>
  <si>
    <t xml:space="preserve">Tengkawang
(kg/thn)</t>
  </si>
  <si>
    <t xml:space="preserve">Purun Tikus
(kg/thn)</t>
  </si>
  <si>
    <t xml:space="preserve">Jelutung
(liter/thn)</t>
  </si>
  <si>
    <t xml:space="preserve">Ikan
(kg/thn)</t>
  </si>
  <si>
    <t xml:space="preserve">Estimasi
Nilai
Rp/thn</t>
  </si>
  <si>
    <t xml:space="preserve">Mineral: Rotan+Gaharu+Madu+Jernang+Tengkawang</t>
  </si>
  <si>
    <t xml:space="preserve">Gambut: Purun+Jelutung dominan, potensi ikan rawa</t>
  </si>
  <si>
    <t xml:space="preserve">GRAND TOTAL SEMUA UNIT</t>
  </si>
</sst>
</file>

<file path=xl/styles.xml><?xml version="1.0" encoding="utf-8"?>
<styleSheet xmlns="http://schemas.openxmlformats.org/spreadsheetml/2006/main">
  <numFmts count="8">
    <numFmt numFmtId="164" formatCode="General"/>
    <numFmt numFmtId="165" formatCode="#,##0.0"/>
    <numFmt numFmtId="166" formatCode="0.0%"/>
    <numFmt numFmtId="167" formatCode="General"/>
    <numFmt numFmtId="168" formatCode="#,##0"/>
    <numFmt numFmtId="169" formatCode="#,##0.00"/>
    <numFmt numFmtId="170" formatCode="_-[$$-409]* #,##0.00_ ;_-[$$-409]* \-#,##0.00\ ;_-[$$-409]* \-??_ ;_-@_ "/>
    <numFmt numFmtId="171" formatCode="_-[$Rp-3809]* #,##0.00_-;\-[$Rp-3809]* #,##0.00_-;_-[$Rp-3809]* \-??_-;_-@_-"/>
  </numFmts>
  <fonts count="2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8"/>
      <name val="Arial"/>
      <family val="0"/>
      <charset val="1"/>
    </font>
    <font>
      <b val="true"/>
      <sz val="10"/>
      <color rgb="FFFFFFFF"/>
      <name val="Arial"/>
      <family val="0"/>
      <charset val="1"/>
    </font>
    <font>
      <b val="true"/>
      <sz val="9"/>
      <color rgb="FFFFFFFF"/>
      <name val="Arial"/>
      <family val="0"/>
      <charset val="1"/>
    </font>
    <font>
      <sz val="9"/>
      <name val="Arial"/>
      <family val="0"/>
      <charset val="1"/>
    </font>
    <font>
      <b val="true"/>
      <sz val="8"/>
      <color rgb="FFFFFFFF"/>
      <name val="Arial"/>
      <family val="0"/>
      <charset val="1"/>
    </font>
    <font>
      <b val="true"/>
      <sz val="9"/>
      <color rgb="FF1F497D"/>
      <name val="Arial"/>
      <family val="0"/>
      <charset val="1"/>
    </font>
    <font>
      <b val="true"/>
      <sz val="9"/>
      <name val="Arial"/>
      <family val="0"/>
      <charset val="1"/>
    </font>
    <font>
      <sz val="8"/>
      <name val="Arial"/>
      <family val="0"/>
      <charset val="1"/>
    </font>
    <font>
      <sz val="10"/>
      <color rgb="FF000000"/>
      <name val="Arial"/>
      <family val="0"/>
      <charset val="1"/>
    </font>
    <font>
      <b val="true"/>
      <sz val="13"/>
      <color rgb="FFFFFFFF"/>
      <name val="Arial"/>
      <family val="0"/>
      <charset val="1"/>
    </font>
    <font>
      <i val="true"/>
      <sz val="8"/>
      <color rgb="FF333333"/>
      <name val="Arial"/>
      <family val="0"/>
      <charset val="1"/>
    </font>
    <font>
      <b val="true"/>
      <sz val="8"/>
      <color rgb="FF0000FF"/>
      <name val="Arial"/>
      <family val="0"/>
      <charset val="1"/>
    </font>
    <font>
      <b val="true"/>
      <sz val="12"/>
      <color rgb="FFFFFFFF"/>
      <name val="Arial"/>
      <family val="0"/>
      <charset val="1"/>
    </font>
    <font>
      <i val="true"/>
      <sz val="8"/>
      <color rgb="FF1F4E31"/>
      <name val="Arial"/>
      <family val="0"/>
      <charset val="1"/>
    </font>
    <font>
      <sz val="8"/>
      <color rgb="FF333333"/>
      <name val="Arial"/>
      <family val="0"/>
      <charset val="1"/>
    </font>
    <font>
      <sz val="8"/>
      <color rgb="FF000000"/>
      <name val="Arial"/>
      <family val="0"/>
      <charset val="1"/>
    </font>
    <font>
      <b val="true"/>
      <sz val="8"/>
      <color rgb="FF5C3317"/>
      <name val="Arial"/>
      <family val="0"/>
      <charset val="1"/>
    </font>
    <font>
      <b val="true"/>
      <sz val="8"/>
      <color rgb="FF1F497D"/>
      <name val="Arial"/>
      <family val="0"/>
      <charset val="1"/>
    </font>
    <font>
      <sz val="8"/>
      <color rgb="FF1F4E31"/>
      <name val="Arial"/>
      <family val="0"/>
      <charset val="1"/>
    </font>
    <font>
      <b val="true"/>
      <sz val="8"/>
      <color rgb="FF1F4E31"/>
      <name val="Arial"/>
      <family val="0"/>
      <charset val="1"/>
    </font>
  </fonts>
  <fills count="11">
    <fill>
      <patternFill patternType="none"/>
    </fill>
    <fill>
      <patternFill patternType="gray125"/>
    </fill>
    <fill>
      <patternFill patternType="solid">
        <fgColor rgb="FF1F4E31"/>
        <bgColor rgb="FF333333"/>
      </patternFill>
    </fill>
    <fill>
      <patternFill patternType="solid">
        <fgColor rgb="FFC6EFCE"/>
        <bgColor rgb="FFDDEEFF"/>
      </patternFill>
    </fill>
    <fill>
      <patternFill patternType="solid">
        <fgColor rgb="FF2D7D46"/>
        <bgColor rgb="FF008080"/>
      </patternFill>
    </fill>
    <fill>
      <patternFill patternType="solid">
        <fgColor rgb="FFFDE9D9"/>
        <bgColor rgb="FFF2F2F2"/>
      </patternFill>
    </fill>
    <fill>
      <patternFill patternType="solid">
        <fgColor rgb="FFDDEEFF"/>
        <bgColor rgb="FFF2F2F2"/>
      </patternFill>
    </fill>
    <fill>
      <patternFill patternType="solid">
        <fgColor rgb="FF1F497D"/>
        <bgColor rgb="FF003366"/>
      </patternFill>
    </fill>
    <fill>
      <patternFill patternType="solid">
        <fgColor rgb="FFFFFF00"/>
        <bgColor rgb="FFFFFF00"/>
      </patternFill>
    </fill>
    <fill>
      <patternFill patternType="solid">
        <fgColor rgb="FFF2F2F2"/>
        <bgColor rgb="FFFDE9D9"/>
      </patternFill>
    </fill>
    <fill>
      <patternFill patternType="solid">
        <fgColor rgb="FFC55A11"/>
        <bgColor rgb="FF993300"/>
      </patternFill>
    </fill>
  </fills>
  <borders count="4">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medium">
        <color rgb="FF555555"/>
      </left>
      <right style="medium">
        <color rgb="FF555555"/>
      </right>
      <top style="medium">
        <color rgb="FF555555"/>
      </top>
      <bottom style="medium">
        <color rgb="FF555555"/>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right" vertical="center" textRotation="0" wrapText="false" indent="0" shrinkToFit="false"/>
      <protection locked="true" hidden="false"/>
    </xf>
    <xf numFmtId="165" fontId="8" fillId="5" borderId="1" xfId="0" applyFont="true" applyBorder="true" applyAlignment="true" applyProtection="false">
      <alignment horizontal="right" vertical="center" textRotation="0" wrapText="false" indent="0" shrinkToFit="false"/>
      <protection locked="true" hidden="false"/>
    </xf>
    <xf numFmtId="166" fontId="8" fillId="5" borderId="1" xfId="0" applyFont="true" applyBorder="true" applyAlignment="true" applyProtection="false">
      <alignment horizontal="right" vertical="center" textRotation="0" wrapText="false" indent="0" shrinkToFit="false"/>
      <protection locked="true" hidden="false"/>
    </xf>
    <xf numFmtId="164" fontId="8" fillId="6" borderId="1" xfId="0" applyFont="true" applyBorder="true" applyAlignment="true" applyProtection="false">
      <alignment horizontal="left" vertical="center" textRotation="0" wrapText="false" indent="0" shrinkToFit="false"/>
      <protection locked="true" hidden="false"/>
    </xf>
    <xf numFmtId="164" fontId="8" fillId="6" borderId="1" xfId="0" applyFont="true" applyBorder="true" applyAlignment="true" applyProtection="false">
      <alignment horizontal="right" vertical="center" textRotation="0" wrapText="false" indent="0" shrinkToFit="false"/>
      <protection locked="true" hidden="false"/>
    </xf>
    <xf numFmtId="165" fontId="8" fillId="6" borderId="1" xfId="0" applyFont="true" applyBorder="true" applyAlignment="true" applyProtection="false">
      <alignment horizontal="right" vertical="center" textRotation="0" wrapText="false" indent="0" shrinkToFit="false"/>
      <protection locked="true" hidden="false"/>
    </xf>
    <xf numFmtId="166" fontId="8" fillId="6" borderId="1" xfId="0" applyFont="true" applyBorder="true" applyAlignment="true" applyProtection="false">
      <alignment horizontal="right" vertical="center"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7" fontId="6" fillId="2" borderId="2" xfId="0" applyFont="true" applyBorder="true" applyAlignment="true" applyProtection="false">
      <alignment horizontal="right" vertical="center" textRotation="0" wrapText="false" indent="0" shrinkToFit="false"/>
      <protection locked="true" hidden="false"/>
    </xf>
    <xf numFmtId="165" fontId="6" fillId="2" borderId="2" xfId="0" applyFont="true" applyBorder="true" applyAlignment="true" applyProtection="false">
      <alignment horizontal="right" vertical="center" textRotation="0" wrapText="false" indent="0" shrinkToFit="false"/>
      <protection locked="true" hidden="false"/>
    </xf>
    <xf numFmtId="166" fontId="6" fillId="2" borderId="2" xfId="0" applyFont="true" applyBorder="true" applyAlignment="true" applyProtection="false">
      <alignment horizontal="right"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8" fontId="8" fillId="6" borderId="1" xfId="0" applyFont="true" applyBorder="true" applyAlignment="true" applyProtection="false">
      <alignment horizontal="right" vertical="center" textRotation="0" wrapText="false" indent="0" shrinkToFit="false"/>
      <protection locked="true" hidden="false"/>
    </xf>
    <xf numFmtId="169" fontId="8" fillId="6" borderId="1" xfId="0" applyFont="true" applyBorder="true" applyAlignment="true" applyProtection="false">
      <alignment horizontal="right"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6" fillId="2" borderId="2" xfId="0" applyFont="true" applyBorder="true" applyAlignment="true" applyProtection="false">
      <alignment horizontal="left" vertical="center" textRotation="0" wrapText="false" indent="0" shrinkToFit="false"/>
      <protection locked="true" hidden="false"/>
    </xf>
    <xf numFmtId="168" fontId="6" fillId="2" borderId="2" xfId="0" applyFont="true" applyBorder="true" applyAlignment="true" applyProtection="false">
      <alignment horizontal="right" vertical="center" textRotation="0" wrapText="false" indent="0" shrinkToFit="false"/>
      <protection locked="true" hidden="false"/>
    </xf>
    <xf numFmtId="169" fontId="6" fillId="2" borderId="2" xfId="0" applyFont="true" applyBorder="true" applyAlignment="true" applyProtection="false">
      <alignment horizontal="righ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1" fillId="3"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true" applyProtection="false">
      <alignment horizontal="right" vertical="center" textRotation="0" wrapText="false" indent="0" shrinkToFit="false"/>
      <protection locked="true" hidden="false"/>
    </xf>
    <xf numFmtId="168" fontId="8" fillId="3" borderId="1" xfId="0" applyFont="true" applyBorder="true" applyAlignment="true" applyProtection="false">
      <alignment horizontal="right" vertical="center" textRotation="0" wrapText="false" indent="0" shrinkToFit="false"/>
      <protection locked="true" hidden="false"/>
    </xf>
    <xf numFmtId="170" fontId="8" fillId="3" borderId="1" xfId="0" applyFont="true" applyBorder="true" applyAlignment="true" applyProtection="false">
      <alignment horizontal="right" vertical="center" textRotation="0" wrapText="false" indent="0" shrinkToFit="false"/>
      <protection locked="true" hidden="false"/>
    </xf>
    <xf numFmtId="171" fontId="8" fillId="3" borderId="1" xfId="0" applyFont="true" applyBorder="true" applyAlignment="true" applyProtection="false">
      <alignment horizontal="right" vertical="center" textRotation="0" wrapText="false" indent="0" shrinkToFit="false"/>
      <protection locked="true" hidden="false"/>
    </xf>
    <xf numFmtId="164" fontId="8" fillId="3" borderId="1" xfId="0" applyFont="true" applyBorder="true" applyAlignment="true" applyProtection="false">
      <alignment horizontal="left"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12" fillId="6" borderId="3" xfId="0" applyFont="true" applyBorder="true" applyAlignment="true" applyProtection="false">
      <alignment horizontal="left" vertical="center" textRotation="0" wrapText="true" indent="0" shrinkToFit="false"/>
      <protection locked="true" hidden="false"/>
    </xf>
    <xf numFmtId="164" fontId="6" fillId="7" borderId="0" xfId="0" applyFont="true" applyBorder="true" applyAlignment="true" applyProtection="false">
      <alignment horizontal="left" vertical="center" textRotation="0" wrapText="false" indent="0" shrinkToFit="false"/>
      <protection locked="true" hidden="false"/>
    </xf>
    <xf numFmtId="164" fontId="6" fillId="7" borderId="0" xfId="0" applyFont="true" applyBorder="false" applyAlignment="true" applyProtection="false">
      <alignment horizontal="center" vertical="center" textRotation="0" wrapText="true" indent="0" shrinkToFit="false"/>
      <protection locked="true" hidden="false"/>
    </xf>
    <xf numFmtId="164" fontId="13" fillId="5" borderId="0" xfId="0" applyFont="true" applyBorder="false" applyAlignment="true" applyProtection="false">
      <alignment horizontal="left" vertical="center" textRotation="0" wrapText="true" indent="0" shrinkToFit="false"/>
      <protection locked="true" hidden="false"/>
    </xf>
    <xf numFmtId="164" fontId="13" fillId="6" borderId="0" xfId="0" applyFont="true" applyBorder="false" applyAlignment="true" applyProtection="false">
      <alignment horizontal="left" vertical="center" textRotation="0" wrapText="true" indent="0" shrinkToFit="false"/>
      <protection locked="true" hidden="false"/>
    </xf>
    <xf numFmtId="164" fontId="6" fillId="2" borderId="0" xfId="0" applyFont="true" applyBorder="false" applyAlignment="true" applyProtection="false">
      <alignment horizontal="left" vertical="center" textRotation="0" wrapText="true" indent="0" shrinkToFit="false"/>
      <protection locked="true" hidden="false"/>
    </xf>
    <xf numFmtId="164" fontId="14" fillId="2" borderId="0" xfId="0" applyFont="true" applyBorder="true" applyAlignment="true" applyProtection="false">
      <alignment horizontal="center" vertical="center" textRotation="0" wrapText="false" indent="0" shrinkToFit="false"/>
      <protection locked="true" hidden="false"/>
    </xf>
    <xf numFmtId="164" fontId="15" fillId="3" borderId="0" xfId="0" applyFont="true" applyBorder="true" applyAlignment="true" applyProtection="false">
      <alignment horizontal="lef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4" fontId="16" fillId="8"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true" applyAlignment="true" applyProtection="false">
      <alignment horizontal="center" vertical="center" textRotation="0" wrapText="false" indent="0" shrinkToFit="false"/>
      <protection locked="true" hidden="false"/>
    </xf>
    <xf numFmtId="164" fontId="18" fillId="3" borderId="0" xfId="0" applyFont="true" applyBorder="true" applyAlignment="true" applyProtection="false">
      <alignment horizontal="left" vertical="center" textRotation="0" wrapText="false" indent="0" shrinkToFit="false"/>
      <protection locked="true" hidden="false"/>
    </xf>
    <xf numFmtId="164" fontId="19" fillId="9" borderId="0"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0" fillId="5" borderId="1" xfId="0" applyFont="true" applyBorder="true" applyAlignment="true" applyProtection="false">
      <alignment horizontal="center" vertical="center" textRotation="0" wrapText="false" indent="0" shrinkToFit="false"/>
      <protection locked="true" hidden="false"/>
    </xf>
    <xf numFmtId="164" fontId="20" fillId="5" borderId="1" xfId="0" applyFont="true" applyBorder="true" applyAlignment="true" applyProtection="false">
      <alignment horizontal="left" vertical="center" textRotation="0" wrapText="false" indent="0" shrinkToFit="false"/>
      <protection locked="true" hidden="false"/>
    </xf>
    <xf numFmtId="164" fontId="21" fillId="5" borderId="1" xfId="0" applyFont="true" applyBorder="true" applyAlignment="true" applyProtection="false">
      <alignment horizontal="left" vertical="center" textRotation="0" wrapText="false" indent="0" shrinkToFit="false"/>
      <protection locked="true" hidden="false"/>
    </xf>
    <xf numFmtId="164" fontId="20" fillId="5" borderId="1" xfId="0" applyFont="true" applyBorder="true" applyAlignment="true" applyProtection="false">
      <alignment horizontal="right" vertical="center" textRotation="0" wrapText="false" indent="0" shrinkToFit="false"/>
      <protection locked="true" hidden="false"/>
    </xf>
    <xf numFmtId="165" fontId="20" fillId="5" borderId="1" xfId="0" applyFont="true" applyBorder="true" applyAlignment="true" applyProtection="false">
      <alignment horizontal="right" vertical="center" textRotation="0" wrapText="false" indent="0" shrinkToFit="false"/>
      <protection locked="true" hidden="false"/>
    </xf>
    <xf numFmtId="168" fontId="20" fillId="5" borderId="1" xfId="0" applyFont="true" applyBorder="true" applyAlignment="true" applyProtection="false">
      <alignment horizontal="right" vertical="center" textRotation="0" wrapText="false" indent="0" shrinkToFit="false"/>
      <protection locked="true" hidden="false"/>
    </xf>
    <xf numFmtId="164" fontId="7" fillId="4" borderId="0" xfId="0" applyFont="true" applyBorder="true" applyAlignment="true" applyProtection="false">
      <alignment horizontal="center" vertical="center" textRotation="0" wrapText="false" indent="0" shrinkToFit="false"/>
      <protection locked="true" hidden="false"/>
    </xf>
    <xf numFmtId="167" fontId="7" fillId="4" borderId="2" xfId="0" applyFont="true" applyBorder="true" applyAlignment="true" applyProtection="false">
      <alignment horizontal="right" vertical="center" textRotation="0" wrapText="false" indent="0" shrinkToFit="false"/>
      <protection locked="true" hidden="false"/>
    </xf>
    <xf numFmtId="165" fontId="7" fillId="4" borderId="2" xfId="0" applyFont="true" applyBorder="true" applyAlignment="true" applyProtection="false">
      <alignment horizontal="right" vertical="center" textRotation="0" wrapText="false" indent="0" shrinkToFit="false"/>
      <protection locked="true" hidden="false"/>
    </xf>
    <xf numFmtId="168" fontId="7" fillId="4" borderId="2" xfId="0" applyFont="true" applyBorder="true" applyAlignment="true" applyProtection="false">
      <alignment horizontal="right" vertical="center"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20" fillId="6" borderId="1" xfId="0" applyFont="true" applyBorder="true" applyAlignment="true" applyProtection="false">
      <alignment horizontal="center" vertical="center" textRotation="0" wrapText="false" indent="0" shrinkToFit="false"/>
      <protection locked="true" hidden="false"/>
    </xf>
    <xf numFmtId="164" fontId="20" fillId="6" borderId="1" xfId="0" applyFont="true" applyBorder="true" applyAlignment="true" applyProtection="false">
      <alignment horizontal="left" vertical="center" textRotation="0" wrapText="false" indent="0" shrinkToFit="false"/>
      <protection locked="true" hidden="false"/>
    </xf>
    <xf numFmtId="164" fontId="22" fillId="6" borderId="1" xfId="0" applyFont="true" applyBorder="true" applyAlignment="true" applyProtection="false">
      <alignment horizontal="left" vertical="center" textRotation="0" wrapText="false" indent="0" shrinkToFit="false"/>
      <protection locked="true" hidden="false"/>
    </xf>
    <xf numFmtId="164" fontId="20" fillId="6" borderId="1" xfId="0" applyFont="true" applyBorder="true" applyAlignment="true" applyProtection="false">
      <alignment horizontal="right" vertical="center" textRotation="0" wrapText="false" indent="0" shrinkToFit="false"/>
      <protection locked="true" hidden="false"/>
    </xf>
    <xf numFmtId="165" fontId="20" fillId="6" borderId="1" xfId="0" applyFont="true" applyBorder="true" applyAlignment="true" applyProtection="false">
      <alignment horizontal="right" vertical="center" textRotation="0" wrapText="false" indent="0" shrinkToFit="false"/>
      <protection locked="true" hidden="false"/>
    </xf>
    <xf numFmtId="168" fontId="20" fillId="6" borderId="1" xfId="0" applyFont="true" applyBorder="true" applyAlignment="true" applyProtection="false">
      <alignment horizontal="right" vertical="center" textRotation="0" wrapText="false" indent="0" shrinkToFit="false"/>
      <protection locked="true" hidden="false"/>
    </xf>
    <xf numFmtId="164" fontId="17" fillId="10" borderId="0" xfId="0" applyFont="true" applyBorder="true" applyAlignment="true" applyProtection="false">
      <alignment horizontal="center" vertical="center" textRotation="0" wrapText="false" indent="0" shrinkToFit="false"/>
      <protection locked="true" hidden="false"/>
    </xf>
    <xf numFmtId="164" fontId="5" fillId="5" borderId="0" xfId="0" applyFont="true" applyBorder="true" applyAlignment="true" applyProtection="false">
      <alignment horizontal="center" vertical="center" textRotation="0" wrapText="false" indent="0" shrinkToFit="false"/>
      <protection locked="true" hidden="false"/>
    </xf>
    <xf numFmtId="164" fontId="23" fillId="3" borderId="0" xfId="0" applyFont="true" applyBorder="true" applyAlignment="true" applyProtection="false">
      <alignment horizontal="center" vertical="center" textRotation="0" wrapText="false" indent="0" shrinkToFit="false"/>
      <protection locked="true" hidden="false"/>
    </xf>
    <xf numFmtId="164" fontId="9" fillId="10"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right" vertical="center" textRotation="0" wrapText="false" indent="0" shrinkToFit="false"/>
      <protection locked="true" hidden="false"/>
    </xf>
    <xf numFmtId="168" fontId="24" fillId="5" borderId="1" xfId="0" applyFont="true" applyBorder="true" applyAlignment="true" applyProtection="false">
      <alignment horizontal="right" vertical="center"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2" fillId="6" borderId="1" xfId="0" applyFont="true" applyBorder="true" applyAlignment="true" applyProtection="false">
      <alignment horizontal="left" vertical="center" textRotation="0" wrapText="false" indent="0" shrinkToFit="false"/>
      <protection locked="true" hidden="false"/>
    </xf>
    <xf numFmtId="164" fontId="12" fillId="6" borderId="1" xfId="0" applyFont="true" applyBorder="true" applyAlignment="true" applyProtection="false">
      <alignment horizontal="right" vertical="center" textRotation="0" wrapText="false" indent="0" shrinkToFit="false"/>
      <protection locked="true" hidden="false"/>
    </xf>
    <xf numFmtId="168" fontId="24" fillId="6" borderId="1" xfId="0" applyFont="true" applyBorder="true" applyAlignment="true" applyProtection="false">
      <alignment horizontal="righ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8" fontId="7" fillId="2" borderId="2"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DE9D9"/>
      <rgbColor rgb="FFDDE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6EFCE"/>
      <rgbColor rgb="FFFFFF99"/>
      <rgbColor rgb="FF99CCFF"/>
      <rgbColor rgb="FFFF99CC"/>
      <rgbColor rgb="FFCC99FF"/>
      <rgbColor rgb="FFFFCC99"/>
      <rgbColor rgb="FF3366FF"/>
      <rgbColor rgb="FF33CCCC"/>
      <rgbColor rgb="FF99CC00"/>
      <rgbColor rgb="FFFFCC00"/>
      <rgbColor rgb="FFBF8F00"/>
      <rgbColor rgb="FFC55A11"/>
      <rgbColor rgb="FF555555"/>
      <rgbColor rgb="FFAAAAAA"/>
      <rgbColor rgb="FF003366"/>
      <rgbColor rgb="FF2D7D46"/>
      <rgbColor rgb="FF1F4E31"/>
      <rgbColor rgb="FF5C3317"/>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31"/>
    <pageSetUpPr fitToPage="false"/>
  </sheetPr>
  <dimension ref="A1:L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9" activeCellId="0" sqref="N9"/>
    </sheetView>
  </sheetViews>
  <sheetFormatPr defaultColWidth="8.71484375" defaultRowHeight="15" zeroHeight="false" outlineLevelRow="0" outlineLevelCol="0"/>
  <cols>
    <col collapsed="false" customWidth="true" hidden="false" outlineLevel="0" max="1" min="1" style="0" width="18.86"/>
    <col collapsed="false" customWidth="true" hidden="false" outlineLevel="0" max="2" min="2" style="0" width="10.71"/>
    <col collapsed="false" customWidth="true" hidden="false" outlineLevel="0" max="3" min="3" style="0" width="15.42"/>
    <col collapsed="false" customWidth="true" hidden="false" outlineLevel="0" max="4" min="4" style="0" width="15.14"/>
    <col collapsed="false" customWidth="true" hidden="false" outlineLevel="0" max="5" min="5" style="0" width="13.15"/>
    <col collapsed="false" customWidth="true" hidden="false" outlineLevel="0" max="6" min="6" style="0" width="10.14"/>
    <col collapsed="false" customWidth="true" hidden="false" outlineLevel="0" max="7" min="7" style="0" width="10.71"/>
    <col collapsed="false" customWidth="true" hidden="false" outlineLevel="0" max="8" min="8" style="0" width="14.42"/>
    <col collapsed="false" customWidth="true" hidden="false" outlineLevel="0" max="9" min="9" style="0" width="57.42"/>
    <col collapsed="false" customWidth="true" hidden="false" outlineLevel="0" max="10" min="10" style="0" width="8"/>
    <col collapsed="false" customWidth="true" hidden="false" outlineLevel="0" max="11" min="11" style="0" width="8.42"/>
    <col collapsed="false" customWidth="true" hidden="false" outlineLevel="0" max="12" min="12" style="0" width="15.29"/>
  </cols>
  <sheetData>
    <row r="1" customFormat="false" ht="31.5" hidden="false" customHeight="true" outlineLevel="0" collapsed="false">
      <c r="A1" s="1" t="s">
        <v>0</v>
      </c>
      <c r="B1" s="1"/>
      <c r="C1" s="1"/>
      <c r="D1" s="1"/>
      <c r="E1" s="1"/>
      <c r="F1" s="1"/>
      <c r="G1" s="1"/>
      <c r="H1" s="1"/>
      <c r="I1" s="1"/>
      <c r="J1" s="1"/>
      <c r="K1" s="1"/>
      <c r="L1" s="1"/>
    </row>
    <row r="2" customFormat="false" ht="15.75" hidden="false" customHeight="true" outlineLevel="0" collapsed="false">
      <c r="A2" s="2" t="s">
        <v>1</v>
      </c>
      <c r="B2" s="2"/>
      <c r="C2" s="2"/>
      <c r="D2" s="2"/>
      <c r="E2" s="2"/>
      <c r="F2" s="2"/>
      <c r="G2" s="2"/>
      <c r="H2" s="2"/>
      <c r="I2" s="2"/>
      <c r="J2" s="2"/>
      <c r="K2" s="2"/>
      <c r="L2" s="2"/>
    </row>
    <row r="4" customFormat="false" ht="19.5" hidden="false" customHeight="true" outlineLevel="0" collapsed="false">
      <c r="A4" s="3" t="s">
        <v>2</v>
      </c>
      <c r="B4" s="3"/>
      <c r="C4" s="3"/>
      <c r="D4" s="3"/>
      <c r="E4" s="3"/>
      <c r="F4" s="3"/>
      <c r="G4" s="3"/>
      <c r="H4" s="3"/>
      <c r="I4" s="3"/>
      <c r="J4" s="3"/>
      <c r="K4" s="3"/>
      <c r="L4" s="3"/>
    </row>
    <row r="5" customFormat="false" ht="27.75" hidden="false" customHeight="true" outlineLevel="0" collapsed="false">
      <c r="A5" s="4" t="s">
        <v>3</v>
      </c>
      <c r="B5" s="4" t="s">
        <v>4</v>
      </c>
      <c r="C5" s="4" t="s">
        <v>5</v>
      </c>
      <c r="D5" s="4" t="s">
        <v>6</v>
      </c>
      <c r="E5" s="4" t="s">
        <v>7</v>
      </c>
      <c r="F5" s="4" t="s">
        <v>8</v>
      </c>
      <c r="G5" s="4" t="s">
        <v>9</v>
      </c>
      <c r="H5" s="4" t="s">
        <v>10</v>
      </c>
    </row>
    <row r="6" customFormat="false" ht="18" hidden="false" customHeight="true" outlineLevel="0" collapsed="false">
      <c r="A6" s="5" t="s">
        <v>11</v>
      </c>
      <c r="B6" s="6" t="n">
        <v>35</v>
      </c>
      <c r="C6" s="7" t="n">
        <f aca="false">SUMIF(Karbon_Gunung_Mas!F6:F40,"Gambut",Karbon_Gunung_Mas!E6:E40)</f>
        <v>0</v>
      </c>
      <c r="D6" s="7" t="n">
        <f aca="false">SUMIF(Karbon_Gunung_Mas!F6:F40,"Mineral",Karbon_Gunung_Mas!E6:E40)</f>
        <v>72800.99</v>
      </c>
      <c r="E6" s="7" t="n">
        <f aca="false">C6+D6</f>
        <v>72800.99</v>
      </c>
      <c r="F6" s="8" t="n">
        <f aca="false">IF(E6=0,0,C6/E6)</f>
        <v>0</v>
      </c>
      <c r="G6" s="8" t="n">
        <f aca="false">IF(E6=0,0,D6/E6)</f>
        <v>1</v>
      </c>
      <c r="H6" s="6" t="s">
        <v>12</v>
      </c>
    </row>
    <row r="7" customFormat="false" ht="18" hidden="false" customHeight="true" outlineLevel="0" collapsed="false">
      <c r="A7" s="9" t="s">
        <v>13</v>
      </c>
      <c r="B7" s="10" t="n">
        <v>15</v>
      </c>
      <c r="C7" s="11" t="n">
        <f aca="false">SUMIF(Karbon_Katingan!F6:F20,"Gambut",Karbon_Katingan!E6:E20)</f>
        <v>29239</v>
      </c>
      <c r="D7" s="11" t="n">
        <f aca="false">SUMIF(Karbon_Katingan!F6:F20,"Mineral",Karbon_Katingan!E6:E20)</f>
        <v>0</v>
      </c>
      <c r="E7" s="11" t="n">
        <f aca="false">C7+D7</f>
        <v>29239</v>
      </c>
      <c r="F7" s="12" t="n">
        <f aca="false">IF(E7=0,0,C7/E7)</f>
        <v>1</v>
      </c>
      <c r="G7" s="12" t="n">
        <f aca="false">IF(E7=0,0,D7/E7)</f>
        <v>0</v>
      </c>
      <c r="H7" s="10" t="s">
        <v>14</v>
      </c>
    </row>
    <row r="8" customFormat="false" ht="18" hidden="false" customHeight="true" outlineLevel="0" collapsed="false">
      <c r="A8" s="9" t="s">
        <v>15</v>
      </c>
      <c r="B8" s="10" t="n">
        <v>25</v>
      </c>
      <c r="C8" s="11" t="n">
        <f aca="false">SUMIF(Karbon_Kapuas!F6:F30,"Gambut",Karbon_Kapuas!E6:E30)</f>
        <v>45388</v>
      </c>
      <c r="D8" s="11" t="n">
        <f aca="false">SUMIF(Karbon_Kapuas!F6:F30,"Mineral",Karbon_Kapuas!E6:E30)</f>
        <v>11383</v>
      </c>
      <c r="E8" s="11" t="n">
        <f aca="false">C8+D8</f>
        <v>56771</v>
      </c>
      <c r="F8" s="12" t="n">
        <f aca="false">IF(E8=0,0,C8/E8)</f>
        <v>0.799492698737031</v>
      </c>
      <c r="G8" s="12" t="n">
        <f aca="false">IF(E8=0,0,D8/E8)</f>
        <v>0.200507301262969</v>
      </c>
      <c r="H8" s="10" t="s">
        <v>14</v>
      </c>
    </row>
    <row r="9" customFormat="false" ht="18" hidden="false" customHeight="true" outlineLevel="0" collapsed="false">
      <c r="A9" s="9" t="s">
        <v>16</v>
      </c>
      <c r="B9" s="10" t="n">
        <v>16</v>
      </c>
      <c r="C9" s="11" t="n">
        <f aca="false">SUMIF(Karbon_Pulang_Pisau!F6:F21,"Gambut",Karbon_Pulang_Pisau!E6:E21)</f>
        <v>24721</v>
      </c>
      <c r="D9" s="11" t="n">
        <f aca="false">SUMIF(Karbon_Pulang_Pisau!F6:F21,"Mineral",Karbon_Pulang_Pisau!E6:E21)</f>
        <v>0</v>
      </c>
      <c r="E9" s="11" t="n">
        <f aca="false">C9+D9</f>
        <v>24721</v>
      </c>
      <c r="F9" s="12" t="n">
        <f aca="false">IF(E9=0,0,C9/E9)</f>
        <v>1</v>
      </c>
      <c r="G9" s="12" t="n">
        <f aca="false">IF(E9=0,0,D9/E9)</f>
        <v>0</v>
      </c>
      <c r="H9" s="10" t="s">
        <v>14</v>
      </c>
    </row>
    <row r="10" customFormat="false" ht="21.75" hidden="false" customHeight="true" outlineLevel="0" collapsed="false">
      <c r="A10" s="13" t="s">
        <v>17</v>
      </c>
      <c r="B10" s="14" t="n">
        <f aca="false">SUM(B6:B9)</f>
        <v>91</v>
      </c>
      <c r="C10" s="15" t="n">
        <f aca="false">SUM(C6:C9)</f>
        <v>99348</v>
      </c>
      <c r="D10" s="15" t="n">
        <f aca="false">SUM(D6:D9)</f>
        <v>84183.99</v>
      </c>
      <c r="E10" s="15" t="n">
        <f aca="false">SUM(E6:E9)</f>
        <v>183531.99</v>
      </c>
      <c r="F10" s="16" t="n">
        <f aca="false">IF(E10=0,0,C10/E10)</f>
        <v>0.541311626381864</v>
      </c>
      <c r="G10" s="16" t="n">
        <f aca="false">IF(E10=0,0,D10/E10)</f>
        <v>0.458688373618136</v>
      </c>
      <c r="H10" s="17"/>
    </row>
    <row r="12" customFormat="false" ht="19.5" hidden="false" customHeight="true" outlineLevel="0" collapsed="false">
      <c r="A12" s="18" t="s">
        <v>18</v>
      </c>
      <c r="B12" s="18"/>
      <c r="C12" s="18"/>
      <c r="D12" s="18"/>
      <c r="E12" s="18"/>
      <c r="F12" s="18"/>
      <c r="G12" s="18"/>
      <c r="H12" s="18"/>
      <c r="I12" s="18"/>
      <c r="J12" s="18"/>
      <c r="K12" s="18"/>
      <c r="L12" s="18"/>
    </row>
    <row r="13" customFormat="false" ht="48" hidden="false" customHeight="true" outlineLevel="0" collapsed="false">
      <c r="A13" s="19" t="s">
        <v>3</v>
      </c>
      <c r="B13" s="19" t="s">
        <v>19</v>
      </c>
      <c r="C13" s="19" t="s">
        <v>20</v>
      </c>
      <c r="D13" s="19" t="s">
        <v>21</v>
      </c>
      <c r="E13" s="19" t="s">
        <v>22</v>
      </c>
      <c r="F13" s="19" t="s">
        <v>23</v>
      </c>
      <c r="G13" s="19" t="s">
        <v>24</v>
      </c>
      <c r="H13" s="19" t="s">
        <v>25</v>
      </c>
      <c r="I13" s="19" t="s">
        <v>26</v>
      </c>
      <c r="J13" s="19" t="s">
        <v>27</v>
      </c>
      <c r="K13" s="19" t="s">
        <v>28</v>
      </c>
      <c r="L13" s="19" t="s">
        <v>29</v>
      </c>
    </row>
    <row r="14" customFormat="false" ht="18" hidden="false" customHeight="true" outlineLevel="0" collapsed="false">
      <c r="A14" s="9" t="s">
        <v>11</v>
      </c>
      <c r="B14" s="10" t="n">
        <f aca="false">Karbon_Gunung_Mas!E41</f>
        <v>72800.99</v>
      </c>
      <c r="C14" s="20" t="n">
        <f aca="false">Karbon_Gunung_Mas!J41</f>
        <v>70529599.112</v>
      </c>
      <c r="D14" s="10" t="n">
        <f aca="false">IF(B14=0,0,ROUND(C14/B14,0))</f>
        <v>969</v>
      </c>
      <c r="E14" s="20" t="n">
        <f aca="false">Karbon_Gunung_Mas!L41</f>
        <v>15288207.9</v>
      </c>
      <c r="F14" s="20" t="n">
        <f aca="false">Karbon_Gunung_Mas!M41</f>
        <v>9172924.74</v>
      </c>
      <c r="G14" s="21" t="n">
        <f aca="false">ROUND(F14*5/1000000,2)</f>
        <v>45.86</v>
      </c>
      <c r="H14" s="21" t="n">
        <f aca="false">ROUND(F14*10/1000000,2)</f>
        <v>91.73</v>
      </c>
      <c r="I14" s="21" t="n">
        <f aca="false">ROUND(F14*18/1000000,2)</f>
        <v>165.11</v>
      </c>
      <c r="J14" s="20" t="n">
        <f aca="false">IF(B14=0,0,ROUND(F14/B14,0))</f>
        <v>126</v>
      </c>
      <c r="K14" s="21" t="n">
        <f aca="false">ROUND(J14/30,2)</f>
        <v>4.2</v>
      </c>
      <c r="L14" s="22" t="s">
        <v>30</v>
      </c>
    </row>
    <row r="15" customFormat="false" ht="18" hidden="false" customHeight="true" outlineLevel="0" collapsed="false">
      <c r="A15" s="9" t="s">
        <v>13</v>
      </c>
      <c r="B15" s="10" t="n">
        <f aca="false">Karbon_Katingan!E21</f>
        <v>29239</v>
      </c>
      <c r="C15" s="20" t="n">
        <f aca="false">Karbon_Katingan!J21</f>
        <v>30662939.3</v>
      </c>
      <c r="D15" s="10" t="n">
        <f aca="false">IF(B15=0,0,ROUND(C15/B15,0))</f>
        <v>1049</v>
      </c>
      <c r="E15" s="20" t="n">
        <f aca="false">Karbon_Katingan!L21</f>
        <v>19297740</v>
      </c>
      <c r="F15" s="20" t="n">
        <f aca="false">Karbon_Katingan!M21</f>
        <v>11578644</v>
      </c>
      <c r="G15" s="21" t="n">
        <f aca="false">ROUND(F15*5/1000000,2)</f>
        <v>57.89</v>
      </c>
      <c r="H15" s="21" t="n">
        <f aca="false">ROUND(F15*10/1000000,2)</f>
        <v>115.79</v>
      </c>
      <c r="I15" s="21" t="n">
        <f aca="false">ROUND(F15*18/1000000,2)</f>
        <v>208.42</v>
      </c>
      <c r="J15" s="20" t="n">
        <f aca="false">IF(B15=0,0,ROUND(F15/B15,0))</f>
        <v>396</v>
      </c>
      <c r="K15" s="21" t="n">
        <f aca="false">ROUND(J15/30,2)</f>
        <v>13.2</v>
      </c>
      <c r="L15" s="22" t="s">
        <v>30</v>
      </c>
    </row>
    <row r="16" customFormat="false" ht="18" hidden="false" customHeight="true" outlineLevel="0" collapsed="false">
      <c r="A16" s="9" t="s">
        <v>15</v>
      </c>
      <c r="B16" s="10" t="n">
        <f aca="false">Karbon_Kapuas!E31</f>
        <v>56771</v>
      </c>
      <c r="C16" s="20" t="n">
        <f aca="false">Karbon_Kapuas!J31</f>
        <v>58626246</v>
      </c>
      <c r="D16" s="10" t="n">
        <f aca="false">IF(B16=0,0,ROUND(C16/B16,0))</f>
        <v>1033</v>
      </c>
      <c r="E16" s="20" t="n">
        <f aca="false">Karbon_Kapuas!L31</f>
        <v>32346510</v>
      </c>
      <c r="F16" s="20" t="n">
        <f aca="false">Karbon_Kapuas!M31</f>
        <v>19407906</v>
      </c>
      <c r="G16" s="21" t="n">
        <f aca="false">ROUND(F16*5/1000000,2)</f>
        <v>97.04</v>
      </c>
      <c r="H16" s="21" t="n">
        <f aca="false">ROUND(F16*10/1000000,2)</f>
        <v>194.08</v>
      </c>
      <c r="I16" s="21" t="n">
        <f aca="false">ROUND(F16*18/1000000,2)</f>
        <v>349.34</v>
      </c>
      <c r="J16" s="20" t="n">
        <f aca="false">IF(B16=0,0,ROUND(F16/B16,0))</f>
        <v>342</v>
      </c>
      <c r="K16" s="21" t="n">
        <f aca="false">ROUND(J16/30,2)</f>
        <v>11.4</v>
      </c>
      <c r="L16" s="22" t="s">
        <v>30</v>
      </c>
    </row>
    <row r="17" customFormat="false" ht="18" hidden="false" customHeight="true" outlineLevel="0" collapsed="false">
      <c r="A17" s="9" t="s">
        <v>16</v>
      </c>
      <c r="B17" s="10" t="n">
        <f aca="false">Karbon_Pulang_Pisau!E22</f>
        <v>24721</v>
      </c>
      <c r="C17" s="20" t="n">
        <f aca="false">Karbon_Pulang_Pisau!J22</f>
        <v>25924912.7</v>
      </c>
      <c r="D17" s="10" t="n">
        <f aca="false">IF(B17=0,0,ROUND(C17/B17,0))</f>
        <v>1049</v>
      </c>
      <c r="E17" s="20" t="n">
        <f aca="false">Karbon_Pulang_Pisau!L22</f>
        <v>16315860</v>
      </c>
      <c r="F17" s="20" t="n">
        <f aca="false">Karbon_Pulang_Pisau!M22</f>
        <v>9789516</v>
      </c>
      <c r="G17" s="21" t="n">
        <f aca="false">ROUND(F17*5/1000000,2)</f>
        <v>48.95</v>
      </c>
      <c r="H17" s="21" t="n">
        <f aca="false">ROUND(F17*10/1000000,2)</f>
        <v>97.9</v>
      </c>
      <c r="I17" s="21" t="n">
        <f aca="false">ROUND(F17*18/1000000,2)</f>
        <v>176.21</v>
      </c>
      <c r="J17" s="20" t="n">
        <f aca="false">IF(B17=0,0,ROUND(F17/B17,0))</f>
        <v>396</v>
      </c>
      <c r="K17" s="21" t="n">
        <f aca="false">ROUND(J17/30,2)</f>
        <v>13.2</v>
      </c>
      <c r="L17" s="22" t="s">
        <v>30</v>
      </c>
    </row>
    <row r="18" customFormat="false" ht="21.75" hidden="false" customHeight="true" outlineLevel="0" collapsed="false">
      <c r="A18" s="23" t="s">
        <v>17</v>
      </c>
      <c r="B18" s="14" t="n">
        <f aca="false">SUM(B14:B17)</f>
        <v>183531.99</v>
      </c>
      <c r="C18" s="24" t="n">
        <f aca="false">SUM(C14:C17)</f>
        <v>185743697.112</v>
      </c>
      <c r="D18" s="14" t="n">
        <f aca="false">IF(B18=0,0,ROUND(C18/B18,0))</f>
        <v>1012</v>
      </c>
      <c r="E18" s="24" t="n">
        <f aca="false">SUM(E14:E17)</f>
        <v>83248317.9</v>
      </c>
      <c r="F18" s="24" t="n">
        <f aca="false">SUM(F14:F17)</f>
        <v>49948990.74</v>
      </c>
      <c r="G18" s="25" t="n">
        <f aca="false">ROUND(F18*5/1000000,2)</f>
        <v>249.74</v>
      </c>
      <c r="H18" s="25" t="n">
        <f aca="false">ROUND(F18*10/1000000,2)</f>
        <v>499.49</v>
      </c>
      <c r="I18" s="25" t="n">
        <f aca="false">ROUND(F18*18/1000000,2)</f>
        <v>899.08</v>
      </c>
      <c r="J18" s="24" t="n">
        <f aca="false">IF(B18=0,0,ROUND(F18/B18,0))</f>
        <v>272</v>
      </c>
      <c r="K18" s="25" t="n">
        <f aca="false">ROUND(J18/30,2)</f>
        <v>9.07</v>
      </c>
      <c r="L18" s="14" t="s">
        <v>31</v>
      </c>
    </row>
    <row r="20" customFormat="false" ht="19.5" hidden="false" customHeight="true" outlineLevel="0" collapsed="false">
      <c r="A20" s="26" t="s">
        <v>32</v>
      </c>
      <c r="B20" s="26"/>
      <c r="C20" s="26"/>
      <c r="D20" s="26"/>
      <c r="E20" s="26"/>
      <c r="F20" s="26"/>
      <c r="G20" s="26"/>
      <c r="H20" s="26"/>
      <c r="I20" s="26"/>
      <c r="J20" s="26"/>
      <c r="K20" s="26"/>
      <c r="L20" s="26"/>
    </row>
    <row r="21" customFormat="false" ht="39.75" hidden="false" customHeight="true" outlineLevel="0" collapsed="false">
      <c r="A21" s="27" t="s">
        <v>33</v>
      </c>
      <c r="B21" s="27" t="s">
        <v>34</v>
      </c>
      <c r="C21" s="27" t="s">
        <v>35</v>
      </c>
      <c r="D21" s="27" t="s">
        <v>36</v>
      </c>
      <c r="E21" s="27" t="s">
        <v>37</v>
      </c>
      <c r="F21" s="27" t="s">
        <v>38</v>
      </c>
      <c r="G21" s="27" t="s">
        <v>39</v>
      </c>
      <c r="H21" s="27" t="s">
        <v>40</v>
      </c>
      <c r="I21" s="27" t="s">
        <v>41</v>
      </c>
    </row>
    <row r="22" customFormat="false" ht="18" hidden="false" customHeight="true" outlineLevel="0" collapsed="false">
      <c r="A22" s="28" t="s">
        <v>42</v>
      </c>
      <c r="B22" s="29" t="n">
        <v>5</v>
      </c>
      <c r="C22" s="30" t="n">
        <f aca="false">F18</f>
        <v>49948990.74</v>
      </c>
      <c r="D22" s="31" t="n">
        <f aca="false">ROUND(C22*B22/1000000,2)</f>
        <v>249.74</v>
      </c>
      <c r="E22" s="32" t="n">
        <f aca="false">ROUND(D22*16,1)</f>
        <v>3995.8</v>
      </c>
      <c r="F22" s="31" t="n">
        <f aca="false">ROUND(C22*B22/B18,2)</f>
        <v>1360.77</v>
      </c>
      <c r="G22" s="31" t="n">
        <f aca="false">ROUND(D22/30,2)</f>
        <v>8.32</v>
      </c>
      <c r="H22" s="33" t="s">
        <v>43</v>
      </c>
      <c r="I22" s="33" t="s">
        <v>44</v>
      </c>
    </row>
    <row r="23" customFormat="false" ht="18" hidden="false" customHeight="true" outlineLevel="0" collapsed="false">
      <c r="A23" s="28" t="s">
        <v>45</v>
      </c>
      <c r="B23" s="29" t="n">
        <v>10</v>
      </c>
      <c r="C23" s="30" t="n">
        <f aca="false">F18</f>
        <v>49948990.74</v>
      </c>
      <c r="D23" s="31" t="n">
        <f aca="false">ROUND(C23*B23/1000000,2)</f>
        <v>499.49</v>
      </c>
      <c r="E23" s="32" t="n">
        <f aca="false">ROUND(D23*16,1)</f>
        <v>7991.8</v>
      </c>
      <c r="F23" s="31" t="n">
        <f aca="false">ROUND(C23*B23/B18,2)</f>
        <v>2721.54</v>
      </c>
      <c r="G23" s="31" t="n">
        <f aca="false">ROUND(D23/30,2)</f>
        <v>16.65</v>
      </c>
      <c r="H23" s="33" t="s">
        <v>43</v>
      </c>
      <c r="I23" s="33" t="s">
        <v>46</v>
      </c>
    </row>
    <row r="24" customFormat="false" ht="18" hidden="false" customHeight="true" outlineLevel="0" collapsed="false">
      <c r="A24" s="28" t="s">
        <v>47</v>
      </c>
      <c r="B24" s="29" t="n">
        <v>18</v>
      </c>
      <c r="C24" s="30" t="n">
        <f aca="false">F18</f>
        <v>49948990.74</v>
      </c>
      <c r="D24" s="31" t="n">
        <f aca="false">ROUND(C24*B24/1000000,2)</f>
        <v>899.08</v>
      </c>
      <c r="E24" s="32" t="n">
        <f aca="false">ROUND(D24*16,1)</f>
        <v>14385.3</v>
      </c>
      <c r="F24" s="31" t="n">
        <f aca="false">ROUND(C24*B24/B18,2)</f>
        <v>4898.77</v>
      </c>
      <c r="G24" s="31" t="n">
        <f aca="false">ROUND(D24/30,2)</f>
        <v>29.97</v>
      </c>
      <c r="H24" s="33" t="s">
        <v>43</v>
      </c>
      <c r="I24" s="33" t="s">
        <v>48</v>
      </c>
    </row>
    <row r="27" customFormat="false" ht="19.5" hidden="false" customHeight="true" outlineLevel="0" collapsed="false">
      <c r="A27" s="18" t="s">
        <v>49</v>
      </c>
      <c r="B27" s="18"/>
      <c r="C27" s="18"/>
      <c r="D27" s="18"/>
      <c r="E27" s="18"/>
      <c r="F27" s="18"/>
      <c r="G27" s="18"/>
      <c r="H27" s="18"/>
      <c r="I27" s="18"/>
      <c r="J27" s="18"/>
      <c r="K27" s="18"/>
      <c r="L27" s="18"/>
    </row>
    <row r="28" customFormat="false" ht="31.5" hidden="false" customHeight="true" outlineLevel="0" collapsed="false">
      <c r="A28" s="34" t="s">
        <v>50</v>
      </c>
      <c r="B28" s="35" t="s">
        <v>51</v>
      </c>
      <c r="C28" s="35"/>
      <c r="D28" s="35"/>
      <c r="E28" s="35"/>
      <c r="F28" s="35"/>
      <c r="G28" s="35"/>
      <c r="H28" s="35"/>
      <c r="I28" s="35"/>
      <c r="J28" s="35"/>
      <c r="K28" s="35"/>
      <c r="L28" s="35"/>
    </row>
    <row r="29" customFormat="false" ht="31.5" hidden="false" customHeight="true" outlineLevel="0" collapsed="false">
      <c r="A29" s="34" t="s">
        <v>52</v>
      </c>
      <c r="B29" s="35" t="s">
        <v>53</v>
      </c>
      <c r="C29" s="35"/>
      <c r="D29" s="35"/>
      <c r="E29" s="35"/>
      <c r="F29" s="35"/>
      <c r="G29" s="35"/>
      <c r="H29" s="35"/>
      <c r="I29" s="35"/>
      <c r="J29" s="35"/>
      <c r="K29" s="35"/>
      <c r="L29" s="35"/>
    </row>
    <row r="30" customFormat="false" ht="31.5" hidden="false" customHeight="true" outlineLevel="0" collapsed="false">
      <c r="A30" s="34" t="s">
        <v>54</v>
      </c>
      <c r="B30" s="35" t="s">
        <v>55</v>
      </c>
      <c r="C30" s="35"/>
      <c r="D30" s="35"/>
      <c r="E30" s="35"/>
      <c r="F30" s="35"/>
      <c r="G30" s="35"/>
      <c r="H30" s="35"/>
      <c r="I30" s="35"/>
      <c r="J30" s="35"/>
      <c r="K30" s="35"/>
      <c r="L30" s="35"/>
    </row>
    <row r="31" customFormat="false" ht="31.5" hidden="false" customHeight="true" outlineLevel="0" collapsed="false">
      <c r="A31" s="34" t="s">
        <v>56</v>
      </c>
      <c r="B31" s="35" t="s">
        <v>57</v>
      </c>
      <c r="C31" s="35"/>
      <c r="D31" s="35"/>
      <c r="E31" s="35"/>
      <c r="F31" s="35"/>
      <c r="G31" s="35"/>
      <c r="H31" s="35"/>
      <c r="I31" s="35"/>
      <c r="J31" s="35"/>
      <c r="K31" s="35"/>
      <c r="L31" s="35"/>
    </row>
    <row r="32" customFormat="false" ht="31.5" hidden="false" customHeight="true" outlineLevel="0" collapsed="false">
      <c r="A32" s="34" t="s">
        <v>58</v>
      </c>
      <c r="B32" s="35" t="s">
        <v>59</v>
      </c>
      <c r="C32" s="35"/>
      <c r="D32" s="35"/>
      <c r="E32" s="35"/>
      <c r="F32" s="35"/>
      <c r="G32" s="35"/>
      <c r="H32" s="35"/>
      <c r="I32" s="35"/>
      <c r="J32" s="35"/>
      <c r="K32" s="35"/>
      <c r="L32" s="35"/>
    </row>
    <row r="33" customFormat="false" ht="31.5" hidden="false" customHeight="true" outlineLevel="0" collapsed="false">
      <c r="A33" s="34" t="s">
        <v>60</v>
      </c>
      <c r="B33" s="35" t="s">
        <v>61</v>
      </c>
      <c r="C33" s="35"/>
      <c r="D33" s="35"/>
      <c r="E33" s="35"/>
      <c r="F33" s="35"/>
      <c r="G33" s="35"/>
      <c r="H33" s="35"/>
      <c r="I33" s="35"/>
      <c r="J33" s="35"/>
      <c r="K33" s="35"/>
      <c r="L33" s="35"/>
    </row>
    <row r="34" customFormat="false" ht="31.5" hidden="false" customHeight="true" outlineLevel="0" collapsed="false">
      <c r="A34" s="34" t="s">
        <v>62</v>
      </c>
      <c r="B34" s="35" t="s">
        <v>63</v>
      </c>
      <c r="C34" s="35"/>
      <c r="D34" s="35"/>
      <c r="E34" s="35"/>
      <c r="F34" s="35"/>
      <c r="G34" s="35"/>
      <c r="H34" s="35"/>
      <c r="I34" s="35"/>
      <c r="J34" s="35"/>
      <c r="K34" s="35"/>
      <c r="L34" s="35"/>
    </row>
    <row r="35" customFormat="false" ht="31.5" hidden="false" customHeight="true" outlineLevel="0" collapsed="false">
      <c r="A35" s="34" t="s">
        <v>64</v>
      </c>
      <c r="B35" s="35" t="s">
        <v>65</v>
      </c>
      <c r="C35" s="35"/>
      <c r="D35" s="35"/>
      <c r="E35" s="35"/>
      <c r="F35" s="35"/>
      <c r="G35" s="35"/>
      <c r="H35" s="35"/>
      <c r="I35" s="35"/>
      <c r="J35" s="35"/>
      <c r="K35" s="35"/>
      <c r="L35" s="35"/>
    </row>
    <row r="36" customFormat="false" ht="31.5" hidden="false" customHeight="true" outlineLevel="0" collapsed="false">
      <c r="A36" s="34" t="s">
        <v>66</v>
      </c>
      <c r="B36" s="35" t="s">
        <v>67</v>
      </c>
      <c r="C36" s="35"/>
      <c r="D36" s="35"/>
      <c r="E36" s="35"/>
      <c r="F36" s="35"/>
      <c r="G36" s="35"/>
      <c r="H36" s="35"/>
      <c r="I36" s="35"/>
      <c r="J36" s="35"/>
      <c r="K36" s="35"/>
      <c r="L36" s="35"/>
    </row>
    <row r="37" customFormat="false" ht="31.5" hidden="false" customHeight="true" outlineLevel="0" collapsed="false">
      <c r="A37" s="34" t="s">
        <v>68</v>
      </c>
      <c r="B37" s="35" t="s">
        <v>69</v>
      </c>
      <c r="C37" s="35"/>
      <c r="D37" s="35"/>
      <c r="E37" s="35"/>
      <c r="F37" s="35"/>
      <c r="G37" s="35"/>
      <c r="H37" s="35"/>
      <c r="I37" s="35"/>
      <c r="J37" s="35"/>
      <c r="K37" s="35"/>
      <c r="L37" s="35"/>
    </row>
    <row r="39" customFormat="false" ht="19.5" hidden="false" customHeight="true" outlineLevel="0" collapsed="false">
      <c r="A39" s="36" t="s">
        <v>70</v>
      </c>
      <c r="B39" s="36"/>
      <c r="C39" s="36"/>
      <c r="D39" s="36"/>
      <c r="E39" s="36"/>
      <c r="F39" s="36"/>
      <c r="G39" s="36"/>
      <c r="H39" s="36"/>
      <c r="I39" s="36"/>
    </row>
    <row r="40" customFormat="false" ht="34.5" hidden="false" customHeight="true" outlineLevel="0" collapsed="false">
      <c r="A40" s="37" t="s">
        <v>3</v>
      </c>
      <c r="B40" s="37" t="s">
        <v>4</v>
      </c>
      <c r="C40" s="37" t="s">
        <v>19</v>
      </c>
      <c r="D40" s="37" t="s">
        <v>71</v>
      </c>
      <c r="E40" s="37" t="s">
        <v>72</v>
      </c>
      <c r="F40" s="37" t="s">
        <v>73</v>
      </c>
      <c r="G40" s="37" t="s">
        <v>74</v>
      </c>
      <c r="H40" s="37" t="s">
        <v>75</v>
      </c>
      <c r="I40" s="37" t="s">
        <v>41</v>
      </c>
    </row>
    <row r="41" customFormat="false" ht="39.75" hidden="false" customHeight="true" outlineLevel="0" collapsed="false">
      <c r="A41" s="38" t="s">
        <v>11</v>
      </c>
      <c r="B41" s="38" t="n">
        <v>35</v>
      </c>
      <c r="C41" s="38" t="n">
        <f aca="false">SUMIF(HHBK_Potensi!B6:B96,"Gunung Mas",HHBK_Potensi!E6:E96)</f>
        <v>72800.99</v>
      </c>
      <c r="D41" s="38" t="s">
        <v>76</v>
      </c>
      <c r="E41" s="38" t="n">
        <f aca="false">SUMIF(HHBK_Potensi!B6:B96,"Gunung Mas",HHBK_Potensi!O6:O96)</f>
        <v>345440472000</v>
      </c>
      <c r="F41" s="38" t="n">
        <f aca="false">ROUND(E41/1000000000,2)</f>
        <v>345.44</v>
      </c>
      <c r="G41" s="38" t="n">
        <f aca="false">IF(C41=0,0,ROUND(E41/C41,0))</f>
        <v>4744997</v>
      </c>
      <c r="H41" s="38" t="n">
        <f aca="false">F41</f>
        <v>345.44</v>
      </c>
      <c r="I41" s="38" t="s">
        <v>77</v>
      </c>
    </row>
    <row r="42" customFormat="false" ht="39.75" hidden="false" customHeight="true" outlineLevel="0" collapsed="false">
      <c r="A42" s="39" t="s">
        <v>13</v>
      </c>
      <c r="B42" s="39" t="n">
        <v>15</v>
      </c>
      <c r="C42" s="39" t="n">
        <f aca="false">SUMIF(HHBK_Potensi!B6:B96,"Katingan",HHBK_Potensi!E6:E96)</f>
        <v>29239</v>
      </c>
      <c r="D42" s="39" t="s">
        <v>78</v>
      </c>
      <c r="E42" s="39" t="n">
        <f aca="false">SUMIF(HHBK_Potensi!B6:B96,"Katingan",HHBK_Potensi!O6:O96)</f>
        <v>134967224000</v>
      </c>
      <c r="F42" s="39" t="n">
        <f aca="false">ROUND(E42/1000000000,2)</f>
        <v>134.97</v>
      </c>
      <c r="G42" s="39" t="n">
        <f aca="false">IF(C42=0,0,ROUND(E42/C42,0))</f>
        <v>4616000</v>
      </c>
      <c r="H42" s="39" t="n">
        <f aca="false">F42</f>
        <v>134.97</v>
      </c>
      <c r="I42" s="39" t="s">
        <v>77</v>
      </c>
    </row>
    <row r="43" customFormat="false" ht="39.75" hidden="false" customHeight="true" outlineLevel="0" collapsed="false">
      <c r="A43" s="39" t="s">
        <v>15</v>
      </c>
      <c r="B43" s="39" t="n">
        <v>25</v>
      </c>
      <c r="C43" s="39" t="n">
        <f aca="false">SUMIF(HHBK_Potensi!B6:B96,"Kapuas",HHBK_Potensi!E6:E96)</f>
        <v>56771</v>
      </c>
      <c r="D43" s="39" t="s">
        <v>79</v>
      </c>
      <c r="E43" s="39" t="n">
        <f aca="false">SUMIF(HHBK_Potensi!B6:B96,"Kapuas",HHBK_Potensi!O6:O96)</f>
        <v>263523343000</v>
      </c>
      <c r="F43" s="39" t="n">
        <f aca="false">ROUND(E43/1000000000,2)</f>
        <v>263.52</v>
      </c>
      <c r="G43" s="39" t="n">
        <f aca="false">IF(C43=0,0,ROUND(E43/C43,0))</f>
        <v>4641865</v>
      </c>
      <c r="H43" s="39" t="n">
        <f aca="false">F43</f>
        <v>263.52</v>
      </c>
      <c r="I43" s="39" t="s">
        <v>77</v>
      </c>
    </row>
    <row r="44" customFormat="false" ht="39.75" hidden="false" customHeight="true" outlineLevel="0" collapsed="false">
      <c r="A44" s="39" t="s">
        <v>16</v>
      </c>
      <c r="B44" s="39" t="n">
        <v>16</v>
      </c>
      <c r="C44" s="39" t="n">
        <f aca="false">SUMIF(HHBK_Potensi!B6:B96,"Pulang Pisau",HHBK_Potensi!E6:E96)</f>
        <v>24721</v>
      </c>
      <c r="D44" s="39" t="s">
        <v>78</v>
      </c>
      <c r="E44" s="39" t="n">
        <f aca="false">SUMIF(HHBK_Potensi!B6:B96,"Pulang Pisau",HHBK_Potensi!O6:O96)</f>
        <v>114112136000</v>
      </c>
      <c r="F44" s="39" t="n">
        <f aca="false">ROUND(E44/1000000000,2)</f>
        <v>114.11</v>
      </c>
      <c r="G44" s="39" t="n">
        <f aca="false">IF(C44=0,0,ROUND(E44/C44,0))</f>
        <v>4616000</v>
      </c>
      <c r="H44" s="39" t="n">
        <f aca="false">F44</f>
        <v>114.11</v>
      </c>
      <c r="I44" s="39" t="s">
        <v>77</v>
      </c>
    </row>
    <row r="45" customFormat="false" ht="19.5" hidden="false" customHeight="true" outlineLevel="0" collapsed="false">
      <c r="A45" s="40" t="s">
        <v>17</v>
      </c>
      <c r="B45" s="40" t="n">
        <v>91</v>
      </c>
      <c r="C45" s="40" t="n">
        <f aca="false">SUM(C41:C44)</f>
        <v>183531.99</v>
      </c>
      <c r="D45" s="40" t="s">
        <v>80</v>
      </c>
      <c r="E45" s="40" t="n">
        <f aca="false">SUM(E41:E44)</f>
        <v>858043175000</v>
      </c>
      <c r="F45" s="40" t="n">
        <f aca="false">ROUND(E45/1000000000,2)</f>
        <v>858.04</v>
      </c>
      <c r="G45" s="40" t="n">
        <f aca="false">IF(C45=0,0,ROUND(E45/C45,0))</f>
        <v>4675170</v>
      </c>
      <c r="H45" s="40" t="n">
        <f aca="false">F45</f>
        <v>858.04</v>
      </c>
      <c r="I45" s="40" t="s">
        <v>81</v>
      </c>
    </row>
  </sheetData>
  <mergeCells count="17">
    <mergeCell ref="A1:L1"/>
    <mergeCell ref="A2:L2"/>
    <mergeCell ref="A4:L4"/>
    <mergeCell ref="A12:L12"/>
    <mergeCell ref="A20:L20"/>
    <mergeCell ref="A27:L27"/>
    <mergeCell ref="B28:L28"/>
    <mergeCell ref="B29:L29"/>
    <mergeCell ref="B30:L30"/>
    <mergeCell ref="B31:L31"/>
    <mergeCell ref="B32:L32"/>
    <mergeCell ref="B33:L33"/>
    <mergeCell ref="B34:L34"/>
    <mergeCell ref="B35:L35"/>
    <mergeCell ref="B36:L36"/>
    <mergeCell ref="B37:L37"/>
    <mergeCell ref="A39:I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G39"/>
  <sheetViews>
    <sheetView showFormulas="false" showGridLines="false" showRowColHeaders="true" showZeros="true" rightToLeft="false" tabSelected="false" showOutlineSymbols="true" defaultGridColor="true" view="normal" topLeftCell="A7" colorId="64" zoomScale="100" zoomScaleNormal="100" zoomScalePageLayoutView="100" workbookViewId="0">
      <selection pane="topLeft" activeCell="E37" activeCellId="0" sqref="E37"/>
    </sheetView>
  </sheetViews>
  <sheetFormatPr defaultColWidth="8.71484375" defaultRowHeight="15" zeroHeight="false" outlineLevelRow="0" outlineLevelCol="0"/>
  <cols>
    <col collapsed="false" customWidth="true" hidden="false" outlineLevel="0" max="1" min="1" style="0" width="37"/>
    <col collapsed="false" customWidth="true" hidden="false" outlineLevel="0" max="2" min="2" style="0" width="15.29"/>
    <col collapsed="false" customWidth="true" hidden="false" outlineLevel="0" max="3" min="3" style="0" width="12.15"/>
    <col collapsed="false" customWidth="true" hidden="false" outlineLevel="0" max="4" min="4" style="0" width="81.14"/>
    <col collapsed="false" customWidth="true" hidden="false" outlineLevel="0" max="5" min="5" style="0" width="52.42"/>
    <col collapsed="false" customWidth="true" hidden="false" outlineLevel="0" max="6" min="6" style="0" width="19.57"/>
    <col collapsed="false" customWidth="true" hidden="false" outlineLevel="0" max="7" min="7" style="0" width="17.42"/>
  </cols>
  <sheetData>
    <row r="1" customFormat="false" ht="30" hidden="false" customHeight="true" outlineLevel="0" collapsed="false">
      <c r="A1" s="41" t="s">
        <v>82</v>
      </c>
      <c r="B1" s="41"/>
      <c r="C1" s="41"/>
      <c r="D1" s="41"/>
      <c r="E1" s="41"/>
      <c r="F1" s="41"/>
      <c r="G1" s="41"/>
    </row>
    <row r="2" customFormat="false" ht="15" hidden="false" customHeight="true" outlineLevel="0" collapsed="false">
      <c r="A2" s="42" t="s">
        <v>83</v>
      </c>
      <c r="B2" s="42"/>
      <c r="C2" s="42"/>
      <c r="D2" s="42"/>
      <c r="E2" s="42"/>
      <c r="F2" s="42"/>
      <c r="G2" s="42"/>
    </row>
    <row r="5" customFormat="false" ht="15.75" hidden="false" customHeight="true" outlineLevel="0" collapsed="false">
      <c r="A5" s="43" t="s">
        <v>84</v>
      </c>
      <c r="B5" s="44" t="s">
        <v>85</v>
      </c>
      <c r="C5" s="45" t="s">
        <v>86</v>
      </c>
      <c r="D5" s="43" t="s">
        <v>87</v>
      </c>
      <c r="E5" s="43" t="s">
        <v>88</v>
      </c>
      <c r="F5" s="45" t="s">
        <v>89</v>
      </c>
      <c r="G5" s="45" t="s">
        <v>90</v>
      </c>
    </row>
    <row r="6" customFormat="false" ht="15.75" hidden="false" customHeight="true" outlineLevel="0" collapsed="false">
      <c r="A6" s="46" t="s">
        <v>91</v>
      </c>
      <c r="B6" s="46"/>
      <c r="C6" s="46"/>
      <c r="D6" s="46"/>
      <c r="E6" s="46"/>
      <c r="F6" s="46"/>
      <c r="G6" s="46"/>
    </row>
    <row r="7" customFormat="false" ht="15.75" hidden="false" customHeight="true" outlineLevel="0" collapsed="false">
      <c r="A7" s="43" t="s">
        <v>92</v>
      </c>
      <c r="B7" s="44" t="n">
        <v>160</v>
      </c>
      <c r="C7" s="45" t="s">
        <v>93</v>
      </c>
      <c r="D7" s="43" t="s">
        <v>94</v>
      </c>
      <c r="E7" s="43" t="s">
        <v>95</v>
      </c>
      <c r="F7" s="45" t="n">
        <v>120</v>
      </c>
      <c r="G7" s="45" t="n">
        <v>220</v>
      </c>
    </row>
    <row r="8" customFormat="false" ht="15.75" hidden="false" customHeight="true" outlineLevel="0" collapsed="false">
      <c r="A8" s="43" t="s">
        <v>96</v>
      </c>
      <c r="B8" s="44" t="n">
        <v>0.26</v>
      </c>
      <c r="C8" s="45" t="s">
        <v>97</v>
      </c>
      <c r="D8" s="43" t="s">
        <v>98</v>
      </c>
      <c r="E8" s="43" t="s">
        <v>99</v>
      </c>
      <c r="F8" s="45" t="n">
        <v>0.2</v>
      </c>
      <c r="G8" s="45" t="n">
        <v>0.37</v>
      </c>
    </row>
    <row r="9" customFormat="false" ht="15.75" hidden="false" customHeight="true" outlineLevel="0" collapsed="false">
      <c r="A9" s="43" t="s">
        <v>100</v>
      </c>
      <c r="B9" s="44" t="n">
        <v>0.08</v>
      </c>
      <c r="C9" s="45" t="s">
        <v>101</v>
      </c>
      <c r="D9" s="43" t="s">
        <v>102</v>
      </c>
      <c r="E9" s="43" t="s">
        <v>103</v>
      </c>
      <c r="F9" s="45" t="n">
        <v>0.05</v>
      </c>
      <c r="G9" s="45" t="n">
        <v>0.15</v>
      </c>
    </row>
    <row r="10" customFormat="false" ht="15.75" hidden="false" customHeight="true" outlineLevel="0" collapsed="false">
      <c r="A10" s="43" t="s">
        <v>104</v>
      </c>
      <c r="B10" s="44" t="n">
        <v>0.03</v>
      </c>
      <c r="C10" s="45" t="s">
        <v>101</v>
      </c>
      <c r="D10" s="43" t="s">
        <v>105</v>
      </c>
      <c r="E10" s="43" t="s">
        <v>106</v>
      </c>
      <c r="F10" s="45" t="n">
        <v>0.02</v>
      </c>
      <c r="G10" s="45" t="n">
        <v>0.06</v>
      </c>
    </row>
    <row r="11" customFormat="false" ht="15.75" hidden="false" customHeight="true" outlineLevel="0" collapsed="false">
      <c r="A11" s="43" t="s">
        <v>107</v>
      </c>
      <c r="B11" s="44" t="n">
        <v>45</v>
      </c>
      <c r="C11" s="45" t="s">
        <v>93</v>
      </c>
      <c r="D11" s="43" t="s">
        <v>108</v>
      </c>
      <c r="E11" s="43" t="s">
        <v>109</v>
      </c>
      <c r="F11" s="45" t="n">
        <v>35</v>
      </c>
      <c r="G11" s="45" t="n">
        <v>75</v>
      </c>
    </row>
    <row r="12" customFormat="false" ht="15.75" hidden="false" customHeight="true" outlineLevel="0" collapsed="false">
      <c r="A12" s="43" t="s">
        <v>110</v>
      </c>
      <c r="B12" s="44" t="n">
        <v>264.2</v>
      </c>
      <c r="C12" s="45" t="s">
        <v>93</v>
      </c>
      <c r="D12" s="43" t="s">
        <v>111</v>
      </c>
      <c r="E12" s="43" t="s">
        <v>112</v>
      </c>
      <c r="F12" s="45"/>
      <c r="G12" s="45"/>
    </row>
    <row r="13" customFormat="false" ht="15.75" hidden="false" customHeight="true" outlineLevel="0" collapsed="false">
      <c r="A13" s="43" t="s">
        <v>113</v>
      </c>
      <c r="B13" s="44" t="n">
        <v>968.8</v>
      </c>
      <c r="C13" s="45" t="s">
        <v>114</v>
      </c>
      <c r="D13" s="43" t="s">
        <v>115</v>
      </c>
      <c r="E13" s="43" t="s">
        <v>116</v>
      </c>
      <c r="F13" s="45"/>
      <c r="G13" s="45"/>
    </row>
    <row r="14" customFormat="false" ht="15.75" hidden="false" customHeight="true" outlineLevel="0" collapsed="false">
      <c r="A14" s="43" t="s">
        <v>117</v>
      </c>
      <c r="B14" s="44" t="n">
        <v>7</v>
      </c>
      <c r="C14" s="45" t="s">
        <v>118</v>
      </c>
      <c r="D14" s="43" t="s">
        <v>119</v>
      </c>
      <c r="E14" s="43" t="s">
        <v>120</v>
      </c>
      <c r="F14" s="45" t="n">
        <v>4</v>
      </c>
      <c r="G14" s="45" t="n">
        <v>15</v>
      </c>
    </row>
    <row r="15" customFormat="false" ht="15.75" hidden="false" customHeight="true" outlineLevel="0" collapsed="false">
      <c r="A15" s="43" t="s">
        <v>121</v>
      </c>
      <c r="B15" s="44" t="n">
        <v>2</v>
      </c>
      <c r="C15" s="45" t="s">
        <v>118</v>
      </c>
      <c r="D15" s="43" t="s">
        <v>122</v>
      </c>
      <c r="E15" s="43" t="s">
        <v>123</v>
      </c>
      <c r="F15" s="45" t="n">
        <v>1.5</v>
      </c>
      <c r="G15" s="45" t="n">
        <v>4.5</v>
      </c>
    </row>
    <row r="16" customFormat="false" ht="15.75" hidden="false" customHeight="true" outlineLevel="0" collapsed="false">
      <c r="A16" s="46" t="s">
        <v>124</v>
      </c>
      <c r="B16" s="46"/>
      <c r="C16" s="46"/>
      <c r="D16" s="46"/>
      <c r="E16" s="46"/>
      <c r="F16" s="46"/>
      <c r="G16" s="46"/>
    </row>
    <row r="17" customFormat="false" ht="15.75" hidden="false" customHeight="true" outlineLevel="0" collapsed="false">
      <c r="A17" s="43" t="s">
        <v>125</v>
      </c>
      <c r="B17" s="44" t="n">
        <v>2.5</v>
      </c>
      <c r="C17" s="45" t="s">
        <v>126</v>
      </c>
      <c r="D17" s="43" t="s">
        <v>127</v>
      </c>
      <c r="E17" s="43" t="s">
        <v>128</v>
      </c>
      <c r="F17" s="45" t="n">
        <v>1.5</v>
      </c>
      <c r="G17" s="45" t="n">
        <v>6</v>
      </c>
    </row>
    <row r="18" customFormat="false" ht="15.75" hidden="false" customHeight="true" outlineLevel="0" collapsed="false">
      <c r="A18" s="43" t="s">
        <v>129</v>
      </c>
      <c r="B18" s="44" t="n">
        <v>0.096</v>
      </c>
      <c r="C18" s="45" t="s">
        <v>130</v>
      </c>
      <c r="D18" s="43" t="s">
        <v>131</v>
      </c>
      <c r="E18" s="43" t="s">
        <v>132</v>
      </c>
      <c r="F18" s="45" t="n">
        <v>0.08</v>
      </c>
      <c r="G18" s="45" t="n">
        <v>0.115</v>
      </c>
    </row>
    <row r="19" customFormat="false" ht="15.75" hidden="false" customHeight="true" outlineLevel="0" collapsed="false">
      <c r="A19" s="43" t="s">
        <v>133</v>
      </c>
      <c r="B19" s="44" t="n">
        <v>0.55</v>
      </c>
      <c r="C19" s="45" t="s">
        <v>134</v>
      </c>
      <c r="D19" s="43" t="s">
        <v>135</v>
      </c>
      <c r="E19" s="43" t="s">
        <v>136</v>
      </c>
      <c r="F19" s="45" t="n">
        <v>0.49</v>
      </c>
      <c r="G19" s="45" t="n">
        <v>0.6</v>
      </c>
    </row>
    <row r="20" customFormat="false" ht="15.75" hidden="false" customHeight="true" outlineLevel="0" collapsed="false">
      <c r="A20" s="43" t="s">
        <v>137</v>
      </c>
      <c r="B20" s="44" t="n">
        <v>132</v>
      </c>
      <c r="C20" s="45" t="s">
        <v>93</v>
      </c>
      <c r="D20" s="43" t="s">
        <v>138</v>
      </c>
      <c r="E20" s="43" t="s">
        <v>139</v>
      </c>
      <c r="F20" s="45"/>
      <c r="G20" s="45"/>
    </row>
    <row r="21" customFormat="false" ht="15.75" hidden="false" customHeight="true" outlineLevel="0" collapsed="false">
      <c r="A21" s="43" t="s">
        <v>140</v>
      </c>
      <c r="B21" s="44" t="n">
        <v>484</v>
      </c>
      <c r="C21" s="45" t="s">
        <v>114</v>
      </c>
      <c r="D21" s="43" t="s">
        <v>115</v>
      </c>
      <c r="E21" s="43"/>
      <c r="F21" s="45"/>
      <c r="G21" s="45"/>
    </row>
    <row r="22" customFormat="false" ht="15.75" hidden="false" customHeight="true" outlineLevel="0" collapsed="false">
      <c r="A22" s="43" t="s">
        <v>141</v>
      </c>
      <c r="B22" s="44" t="n">
        <v>100</v>
      </c>
      <c r="C22" s="45" t="s">
        <v>93</v>
      </c>
      <c r="D22" s="43" t="s">
        <v>142</v>
      </c>
      <c r="E22" s="43" t="s">
        <v>143</v>
      </c>
      <c r="F22" s="45" t="n">
        <v>75</v>
      </c>
      <c r="G22" s="45" t="n">
        <v>160</v>
      </c>
    </row>
    <row r="23" customFormat="false" ht="15.75" hidden="false" customHeight="true" outlineLevel="0" collapsed="false">
      <c r="A23" s="43" t="s">
        <v>144</v>
      </c>
      <c r="B23" s="44" t="n">
        <v>0.37</v>
      </c>
      <c r="C23" s="45" t="s">
        <v>97</v>
      </c>
      <c r="D23" s="43" t="s">
        <v>145</v>
      </c>
      <c r="E23" s="43" t="s">
        <v>146</v>
      </c>
      <c r="F23" s="45" t="n">
        <v>0.28</v>
      </c>
      <c r="G23" s="45" t="n">
        <v>0.45</v>
      </c>
    </row>
    <row r="24" customFormat="false" ht="15.75" hidden="false" customHeight="true" outlineLevel="0" collapsed="false">
      <c r="A24" s="43" t="s">
        <v>147</v>
      </c>
      <c r="B24" s="44" t="n">
        <v>564.7</v>
      </c>
      <c r="C24" s="45" t="s">
        <v>114</v>
      </c>
      <c r="D24" s="43" t="s">
        <v>148</v>
      </c>
      <c r="E24" s="43"/>
      <c r="F24" s="45"/>
      <c r="G24" s="45"/>
    </row>
    <row r="25" customFormat="false" ht="15.75" hidden="false" customHeight="true" outlineLevel="0" collapsed="false">
      <c r="A25" s="43" t="s">
        <v>149</v>
      </c>
      <c r="B25" s="44" t="n">
        <v>1049</v>
      </c>
      <c r="C25" s="45" t="s">
        <v>114</v>
      </c>
      <c r="D25" s="43" t="s">
        <v>150</v>
      </c>
      <c r="E25" s="43"/>
      <c r="F25" s="45"/>
      <c r="G25" s="45"/>
    </row>
    <row r="26" customFormat="false" ht="15.75" hidden="false" customHeight="true" outlineLevel="0" collapsed="false">
      <c r="A26" s="43" t="s">
        <v>151</v>
      </c>
      <c r="B26" s="44" t="n">
        <v>55</v>
      </c>
      <c r="C26" s="45" t="s">
        <v>118</v>
      </c>
      <c r="D26" s="43" t="s">
        <v>152</v>
      </c>
      <c r="E26" s="43" t="s">
        <v>153</v>
      </c>
      <c r="F26" s="45" t="n">
        <v>35</v>
      </c>
      <c r="G26" s="45" t="n">
        <v>95</v>
      </c>
    </row>
    <row r="27" customFormat="false" ht="15.75" hidden="false" customHeight="true" outlineLevel="0" collapsed="false">
      <c r="A27" s="43" t="s">
        <v>154</v>
      </c>
      <c r="B27" s="44" t="n">
        <v>8</v>
      </c>
      <c r="C27" s="45" t="s">
        <v>118</v>
      </c>
      <c r="D27" s="43" t="s">
        <v>155</v>
      </c>
      <c r="E27" s="43" t="s">
        <v>156</v>
      </c>
      <c r="F27" s="45" t="n">
        <v>3</v>
      </c>
      <c r="G27" s="45" t="n">
        <v>35</v>
      </c>
    </row>
    <row r="28" customFormat="false" ht="15.75" hidden="false" customHeight="true" outlineLevel="0" collapsed="false">
      <c r="A28" s="43" t="s">
        <v>157</v>
      </c>
      <c r="B28" s="44" t="n">
        <v>22</v>
      </c>
      <c r="C28" s="45" t="s">
        <v>118</v>
      </c>
      <c r="D28" s="43" t="s">
        <v>158</v>
      </c>
      <c r="E28" s="43" t="s">
        <v>159</v>
      </c>
      <c r="F28" s="45" t="n">
        <v>15</v>
      </c>
      <c r="G28" s="45" t="n">
        <v>50</v>
      </c>
    </row>
    <row r="29" customFormat="false" ht="15.75" hidden="false" customHeight="true" outlineLevel="0" collapsed="false">
      <c r="A29" s="43" t="s">
        <v>160</v>
      </c>
      <c r="B29" s="44" t="n">
        <v>2</v>
      </c>
      <c r="C29" s="45" t="s">
        <v>118</v>
      </c>
      <c r="D29" s="43" t="s">
        <v>161</v>
      </c>
      <c r="E29" s="43" t="s">
        <v>162</v>
      </c>
      <c r="F29" s="45" t="n">
        <v>1</v>
      </c>
      <c r="G29" s="45" t="n">
        <v>4</v>
      </c>
    </row>
    <row r="30" customFormat="false" ht="15.75" hidden="false" customHeight="true" outlineLevel="0" collapsed="false">
      <c r="A30" s="46" t="s">
        <v>163</v>
      </c>
      <c r="B30" s="46"/>
      <c r="C30" s="46"/>
      <c r="D30" s="46"/>
      <c r="E30" s="46"/>
      <c r="F30" s="46"/>
      <c r="G30" s="46"/>
    </row>
    <row r="31" customFormat="false" ht="15.75" hidden="false" customHeight="true" outlineLevel="0" collapsed="false">
      <c r="A31" s="43" t="s">
        <v>164</v>
      </c>
      <c r="B31" s="44" t="n">
        <v>30</v>
      </c>
      <c r="C31" s="45" t="s">
        <v>165</v>
      </c>
      <c r="D31" s="43" t="s">
        <v>166</v>
      </c>
      <c r="E31" s="43" t="s">
        <v>167</v>
      </c>
      <c r="F31" s="45" t="n">
        <v>20</v>
      </c>
      <c r="G31" s="45" t="n">
        <v>40</v>
      </c>
    </row>
    <row r="32" customFormat="false" ht="15.75" hidden="false" customHeight="true" outlineLevel="0" collapsed="false">
      <c r="A32" s="43" t="s">
        <v>168</v>
      </c>
      <c r="B32" s="44" t="s">
        <v>169</v>
      </c>
      <c r="C32" s="45" t="s">
        <v>170</v>
      </c>
      <c r="D32" s="43" t="s">
        <v>171</v>
      </c>
      <c r="E32" s="43" t="s">
        <v>172</v>
      </c>
      <c r="F32" s="45" t="s">
        <v>173</v>
      </c>
      <c r="G32" s="45" t="s">
        <v>174</v>
      </c>
    </row>
    <row r="33" customFormat="false" ht="15.75" hidden="false" customHeight="true" outlineLevel="0" collapsed="false">
      <c r="A33" s="43" t="s">
        <v>175</v>
      </c>
      <c r="B33" s="44" t="s">
        <v>176</v>
      </c>
      <c r="C33" s="45" t="s">
        <v>170</v>
      </c>
      <c r="D33" s="43" t="s">
        <v>177</v>
      </c>
      <c r="E33" s="43" t="s">
        <v>178</v>
      </c>
      <c r="F33" s="45" t="s">
        <v>179</v>
      </c>
      <c r="G33" s="45" t="s">
        <v>173</v>
      </c>
    </row>
    <row r="34" customFormat="false" ht="15.75" hidden="false" customHeight="true" outlineLevel="0" collapsed="false">
      <c r="A34" s="43" t="s">
        <v>180</v>
      </c>
      <c r="B34" s="44" t="s">
        <v>181</v>
      </c>
      <c r="C34" s="45" t="s">
        <v>182</v>
      </c>
      <c r="D34" s="43" t="s">
        <v>183</v>
      </c>
      <c r="E34" s="43" t="s">
        <v>184</v>
      </c>
      <c r="F34" s="45"/>
      <c r="G34" s="45"/>
    </row>
    <row r="35" customFormat="false" ht="15.75" hidden="false" customHeight="true" outlineLevel="0" collapsed="false">
      <c r="A35" s="43" t="s">
        <v>185</v>
      </c>
      <c r="B35" s="44" t="n">
        <v>5</v>
      </c>
      <c r="C35" s="45" t="s">
        <v>186</v>
      </c>
      <c r="D35" s="43" t="s">
        <v>187</v>
      </c>
      <c r="E35" s="43" t="s">
        <v>188</v>
      </c>
      <c r="F35" s="45" t="n">
        <v>3</v>
      </c>
      <c r="G35" s="45" t="n">
        <v>8</v>
      </c>
    </row>
    <row r="36" customFormat="false" ht="15.75" hidden="false" customHeight="true" outlineLevel="0" collapsed="false">
      <c r="A36" s="43" t="s">
        <v>189</v>
      </c>
      <c r="B36" s="44" t="n">
        <v>10</v>
      </c>
      <c r="C36" s="45" t="s">
        <v>186</v>
      </c>
      <c r="D36" s="43" t="s">
        <v>190</v>
      </c>
      <c r="E36" s="43" t="s">
        <v>191</v>
      </c>
      <c r="F36" s="45" t="n">
        <v>7</v>
      </c>
      <c r="G36" s="45" t="n">
        <v>15</v>
      </c>
    </row>
    <row r="37" customFormat="false" ht="15.75" hidden="false" customHeight="true" outlineLevel="0" collapsed="false">
      <c r="A37" s="43" t="s">
        <v>192</v>
      </c>
      <c r="B37" s="44" t="n">
        <v>18</v>
      </c>
      <c r="C37" s="45" t="s">
        <v>186</v>
      </c>
      <c r="D37" s="43" t="s">
        <v>193</v>
      </c>
      <c r="E37" s="43" t="s">
        <v>194</v>
      </c>
      <c r="F37" s="45" t="n">
        <v>15</v>
      </c>
      <c r="G37" s="45" t="n">
        <v>28</v>
      </c>
    </row>
    <row r="38" customFormat="false" ht="15.75" hidden="false" customHeight="true" outlineLevel="0" collapsed="false">
      <c r="A38" s="46" t="s">
        <v>195</v>
      </c>
      <c r="B38" s="46"/>
      <c r="C38" s="46"/>
      <c r="D38" s="46"/>
      <c r="E38" s="46"/>
      <c r="F38" s="46"/>
      <c r="G38" s="46"/>
    </row>
    <row r="39" customFormat="false" ht="15.75" hidden="false" customHeight="true" outlineLevel="0" collapsed="false">
      <c r="A39" s="43" t="s">
        <v>196</v>
      </c>
      <c r="B39" s="44" t="n">
        <v>3.667</v>
      </c>
      <c r="C39" s="45" t="s">
        <v>197</v>
      </c>
      <c r="D39" s="43" t="s">
        <v>198</v>
      </c>
      <c r="E39" s="43" t="s">
        <v>199</v>
      </c>
      <c r="F39" s="45"/>
      <c r="G39" s="45"/>
    </row>
  </sheetData>
  <mergeCells count="6">
    <mergeCell ref="A1:G1"/>
    <mergeCell ref="A2:G2"/>
    <mergeCell ref="A6:G6"/>
    <mergeCell ref="A16:G16"/>
    <mergeCell ref="A30:G30"/>
    <mergeCell ref="A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7D46"/>
    <pageSetUpPr fitToPage="false"/>
  </sheetPr>
  <dimension ref="A1:S41"/>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pane xSplit="0" ySplit="5" topLeftCell="A30" activePane="bottomLeft" state="frozen"/>
      <selection pane="topLeft" activeCell="A1" activeCellId="0" sqref="A1"/>
      <selection pane="bottomLeft" activeCell="O41" activeCellId="0" sqref="O41"/>
    </sheetView>
  </sheetViews>
  <sheetFormatPr defaultColWidth="8.71484375" defaultRowHeight="15" zeroHeight="false" outlineLevelRow="0" outlineLevelCol="0"/>
  <cols>
    <col collapsed="false" customWidth="true" hidden="false" outlineLevel="0" max="1" min="1" style="0" width="3.42"/>
    <col collapsed="false" customWidth="true" hidden="false" outlineLevel="0" max="2" min="2" style="0" width="6.85"/>
    <col collapsed="false" customWidth="true" hidden="false" outlineLevel="0" max="3" min="3" style="0" width="46.71"/>
    <col collapsed="false" customWidth="true" hidden="false" outlineLevel="0" max="4" min="4" style="0" width="27.29"/>
    <col collapsed="false" customWidth="true" hidden="false" outlineLevel="0" max="5" min="5" style="0" width="9.86"/>
    <col collapsed="false" customWidth="true" hidden="false" outlineLevel="0" max="6" min="6" style="0" width="5.86"/>
    <col collapsed="false" customWidth="true" hidden="false" outlineLevel="0" max="7" min="7" style="0" width="10.57"/>
    <col collapsed="false" customWidth="true" hidden="false" outlineLevel="0" max="8" min="8" style="0" width="10.85"/>
    <col collapsed="false" customWidth="true" hidden="false" outlineLevel="0" max="9" min="9" style="0" width="9"/>
    <col collapsed="false" customWidth="true" hidden="false" outlineLevel="0" max="10" min="10" style="0" width="10.85"/>
    <col collapsed="false" customWidth="true" hidden="false" outlineLevel="0" max="11" min="11" style="0" width="10.71"/>
    <col collapsed="false" customWidth="true" hidden="false" outlineLevel="0" max="12" min="12" style="0" width="9.86"/>
    <col collapsed="false" customWidth="true" hidden="false" outlineLevel="0" max="13" min="13" style="0" width="13.57"/>
    <col collapsed="false" customWidth="true" hidden="false" outlineLevel="0" max="15" min="14" style="0" width="9.86"/>
    <col collapsed="false" customWidth="true" hidden="false" outlineLevel="0" max="16" min="16" style="0" width="10.85"/>
    <col collapsed="false" customWidth="true" hidden="false" outlineLevel="0" max="17" min="17" style="0" width="10.71"/>
    <col collapsed="false" customWidth="true" hidden="false" outlineLevel="0" max="18" min="18" style="0" width="11.85"/>
    <col collapsed="false" customWidth="true" hidden="false" outlineLevel="0" max="19" min="19" style="0" width="100.71"/>
  </cols>
  <sheetData>
    <row r="1" customFormat="false" ht="27.75" hidden="false" customHeight="true" outlineLevel="0" collapsed="false">
      <c r="A1" s="47" t="s">
        <v>200</v>
      </c>
      <c r="B1" s="47"/>
      <c r="C1" s="47"/>
      <c r="D1" s="47"/>
      <c r="E1" s="47"/>
      <c r="F1" s="47"/>
      <c r="G1" s="47"/>
      <c r="H1" s="47"/>
      <c r="I1" s="47"/>
      <c r="J1" s="47"/>
      <c r="K1" s="47"/>
      <c r="L1" s="47"/>
      <c r="M1" s="47"/>
      <c r="N1" s="47"/>
      <c r="O1" s="47"/>
      <c r="P1" s="47"/>
      <c r="Q1" s="47"/>
      <c r="R1" s="47"/>
      <c r="S1" s="47"/>
    </row>
    <row r="2" customFormat="false" ht="15" hidden="false" customHeight="true" outlineLevel="0" collapsed="false">
      <c r="A2" s="48" t="s">
        <v>201</v>
      </c>
      <c r="B2" s="48"/>
      <c r="C2" s="48"/>
      <c r="D2" s="48"/>
      <c r="E2" s="48"/>
      <c r="F2" s="48"/>
      <c r="G2" s="48"/>
      <c r="H2" s="48"/>
      <c r="I2" s="48"/>
      <c r="J2" s="48"/>
      <c r="K2" s="48"/>
      <c r="L2" s="48"/>
      <c r="M2" s="48"/>
      <c r="N2" s="48"/>
      <c r="O2" s="48"/>
      <c r="P2" s="48"/>
      <c r="Q2" s="48"/>
      <c r="R2" s="48"/>
      <c r="S2" s="48"/>
    </row>
    <row r="3" customFormat="false" ht="15" hidden="false" customHeight="true" outlineLevel="0" collapsed="false">
      <c r="A3" s="49" t="s">
        <v>202</v>
      </c>
      <c r="B3" s="49"/>
      <c r="C3" s="49"/>
      <c r="D3" s="49"/>
      <c r="E3" s="49"/>
      <c r="F3" s="49"/>
      <c r="G3" s="49"/>
      <c r="H3" s="49"/>
      <c r="I3" s="49"/>
      <c r="J3" s="49"/>
      <c r="K3" s="49"/>
      <c r="L3" s="49"/>
      <c r="M3" s="49"/>
      <c r="N3" s="49"/>
      <c r="O3" s="49"/>
      <c r="P3" s="49"/>
      <c r="Q3" s="49"/>
      <c r="R3" s="49"/>
      <c r="S3" s="49"/>
    </row>
    <row r="4" customFormat="false" ht="6" hidden="false" customHeight="true" outlineLevel="0" collapsed="false"/>
    <row r="5" s="51" customFormat="true" ht="51.75" hidden="false" customHeight="true" outlineLevel="0" collapsed="false">
      <c r="A5" s="50" t="s">
        <v>203</v>
      </c>
      <c r="B5" s="50" t="s">
        <v>204</v>
      </c>
      <c r="C5" s="50" t="s">
        <v>205</v>
      </c>
      <c r="D5" s="50" t="s">
        <v>206</v>
      </c>
      <c r="E5" s="50" t="s">
        <v>207</v>
      </c>
      <c r="F5" s="50" t="s">
        <v>208</v>
      </c>
      <c r="G5" s="50" t="s">
        <v>209</v>
      </c>
      <c r="H5" s="50" t="s">
        <v>210</v>
      </c>
      <c r="I5" s="50" t="s">
        <v>211</v>
      </c>
      <c r="J5" s="50" t="s">
        <v>212</v>
      </c>
      <c r="K5" s="50" t="s">
        <v>213</v>
      </c>
      <c r="L5" s="50" t="s">
        <v>22</v>
      </c>
      <c r="M5" s="50" t="s">
        <v>214</v>
      </c>
      <c r="N5" s="50" t="s">
        <v>215</v>
      </c>
      <c r="O5" s="50" t="s">
        <v>216</v>
      </c>
      <c r="P5" s="50" t="s">
        <v>217</v>
      </c>
      <c r="Q5" s="50" t="s">
        <v>218</v>
      </c>
      <c r="R5" s="50" t="s">
        <v>219</v>
      </c>
      <c r="S5" s="50" t="s">
        <v>220</v>
      </c>
    </row>
    <row r="6" customFormat="false" ht="18" hidden="false" customHeight="true" outlineLevel="0" collapsed="false">
      <c r="A6" s="52" t="n">
        <v>1</v>
      </c>
      <c r="B6" s="53" t="s">
        <v>221</v>
      </c>
      <c r="C6" s="54" t="s">
        <v>222</v>
      </c>
      <c r="D6" s="53" t="s">
        <v>223</v>
      </c>
      <c r="E6" s="55" t="n">
        <v>2925</v>
      </c>
      <c r="F6" s="53" t="s">
        <v>224</v>
      </c>
      <c r="G6" s="56" t="n">
        <v>803.8</v>
      </c>
      <c r="H6" s="56" t="n">
        <v>165</v>
      </c>
      <c r="I6" s="56" t="n">
        <f aca="false">G6+H6</f>
        <v>968.8</v>
      </c>
      <c r="J6" s="57" t="n">
        <f aca="false">E6*I6</f>
        <v>2833740</v>
      </c>
      <c r="K6" s="56" t="n">
        <v>7</v>
      </c>
      <c r="L6" s="57" t="n">
        <f aca="false">E6*K6*30</f>
        <v>614250</v>
      </c>
      <c r="M6" s="57" t="n">
        <f aca="false">L6*0.6</f>
        <v>368550</v>
      </c>
      <c r="N6" s="57" t="n">
        <f aca="false">M6*5</f>
        <v>1842750</v>
      </c>
      <c r="O6" s="57" t="n">
        <f aca="false">M6*10</f>
        <v>3685500</v>
      </c>
      <c r="P6" s="57" t="n">
        <f aca="false">M6*18</f>
        <v>6633900</v>
      </c>
      <c r="Q6" s="56" t="n">
        <v>2</v>
      </c>
      <c r="R6" s="57" t="n">
        <f aca="false">E6*Q6*30</f>
        <v>175500</v>
      </c>
      <c r="S6" s="53" t="s">
        <v>225</v>
      </c>
    </row>
    <row r="7" customFormat="false" ht="18" hidden="false" customHeight="true" outlineLevel="0" collapsed="false">
      <c r="A7" s="52" t="n">
        <v>2</v>
      </c>
      <c r="B7" s="53" t="s">
        <v>221</v>
      </c>
      <c r="C7" s="54" t="s">
        <v>226</v>
      </c>
      <c r="D7" s="53" t="s">
        <v>227</v>
      </c>
      <c r="E7" s="55" t="n">
        <v>460</v>
      </c>
      <c r="F7" s="53" t="s">
        <v>224</v>
      </c>
      <c r="G7" s="56" t="n">
        <v>803.8</v>
      </c>
      <c r="H7" s="56" t="n">
        <v>165</v>
      </c>
      <c r="I7" s="56" t="n">
        <f aca="false">G7+H7</f>
        <v>968.8</v>
      </c>
      <c r="J7" s="57" t="n">
        <f aca="false">E7*I7</f>
        <v>445648</v>
      </c>
      <c r="K7" s="56" t="n">
        <v>7</v>
      </c>
      <c r="L7" s="57" t="n">
        <f aca="false">E7*K7*30</f>
        <v>96600</v>
      </c>
      <c r="M7" s="57" t="n">
        <f aca="false">L7*0.6</f>
        <v>57960</v>
      </c>
      <c r="N7" s="57" t="n">
        <f aca="false">M7*5</f>
        <v>289800</v>
      </c>
      <c r="O7" s="57" t="n">
        <f aca="false">M7*10</f>
        <v>579600</v>
      </c>
      <c r="P7" s="57" t="n">
        <f aca="false">M7*18</f>
        <v>1043280</v>
      </c>
      <c r="Q7" s="56" t="n">
        <v>2</v>
      </c>
      <c r="R7" s="57" t="n">
        <f aca="false">E7*Q7*30</f>
        <v>27600</v>
      </c>
      <c r="S7" s="53" t="s">
        <v>225</v>
      </c>
    </row>
    <row r="8" customFormat="false" ht="18" hidden="false" customHeight="true" outlineLevel="0" collapsed="false">
      <c r="A8" s="52" t="n">
        <v>3</v>
      </c>
      <c r="B8" s="53" t="s">
        <v>14</v>
      </c>
      <c r="C8" s="54" t="s">
        <v>228</v>
      </c>
      <c r="D8" s="53" t="s">
        <v>228</v>
      </c>
      <c r="E8" s="55" t="n">
        <v>608</v>
      </c>
      <c r="F8" s="53" t="s">
        <v>224</v>
      </c>
      <c r="G8" s="56" t="n">
        <v>803.8</v>
      </c>
      <c r="H8" s="56" t="n">
        <v>165</v>
      </c>
      <c r="I8" s="56" t="n">
        <f aca="false">G8+H8</f>
        <v>968.8</v>
      </c>
      <c r="J8" s="57" t="n">
        <f aca="false">E8*I8</f>
        <v>589030.4</v>
      </c>
      <c r="K8" s="56" t="n">
        <v>7</v>
      </c>
      <c r="L8" s="57" t="n">
        <f aca="false">E8*K8*30</f>
        <v>127680</v>
      </c>
      <c r="M8" s="57" t="n">
        <f aca="false">L8*0.6</f>
        <v>76608</v>
      </c>
      <c r="N8" s="57" t="n">
        <f aca="false">M8*5</f>
        <v>383040</v>
      </c>
      <c r="O8" s="57" t="n">
        <f aca="false">M8*10</f>
        <v>766080</v>
      </c>
      <c r="P8" s="57" t="n">
        <f aca="false">M8*18</f>
        <v>1378944</v>
      </c>
      <c r="Q8" s="56" t="n">
        <v>2</v>
      </c>
      <c r="R8" s="57" t="n">
        <f aca="false">E8*Q8*30</f>
        <v>36480</v>
      </c>
      <c r="S8" s="53" t="s">
        <v>225</v>
      </c>
    </row>
    <row r="9" customFormat="false" ht="18" hidden="false" customHeight="true" outlineLevel="0" collapsed="false">
      <c r="A9" s="52" t="n">
        <v>4</v>
      </c>
      <c r="B9" s="53" t="s">
        <v>14</v>
      </c>
      <c r="C9" s="54" t="s">
        <v>229</v>
      </c>
      <c r="D9" s="53" t="s">
        <v>229</v>
      </c>
      <c r="E9" s="55" t="n">
        <v>440</v>
      </c>
      <c r="F9" s="53" t="s">
        <v>224</v>
      </c>
      <c r="G9" s="56" t="n">
        <v>803.8</v>
      </c>
      <c r="H9" s="56" t="n">
        <v>165</v>
      </c>
      <c r="I9" s="56" t="n">
        <f aca="false">G9+H9</f>
        <v>968.8</v>
      </c>
      <c r="J9" s="57" t="n">
        <f aca="false">E9*I9</f>
        <v>426272</v>
      </c>
      <c r="K9" s="56" t="n">
        <v>7</v>
      </c>
      <c r="L9" s="57" t="n">
        <f aca="false">E9*K9*30</f>
        <v>92400</v>
      </c>
      <c r="M9" s="57" t="n">
        <f aca="false">L9*0.6</f>
        <v>55440</v>
      </c>
      <c r="N9" s="57" t="n">
        <f aca="false">M9*5</f>
        <v>277200</v>
      </c>
      <c r="O9" s="57" t="n">
        <f aca="false">M9*10</f>
        <v>554400</v>
      </c>
      <c r="P9" s="57" t="n">
        <f aca="false">M9*18</f>
        <v>997920</v>
      </c>
      <c r="Q9" s="56" t="n">
        <v>2</v>
      </c>
      <c r="R9" s="57" t="n">
        <f aca="false">E9*Q9*30</f>
        <v>26400</v>
      </c>
      <c r="S9" s="53" t="s">
        <v>225</v>
      </c>
    </row>
    <row r="10" customFormat="false" ht="18" hidden="false" customHeight="true" outlineLevel="0" collapsed="false">
      <c r="A10" s="52" t="n">
        <v>5</v>
      </c>
      <c r="B10" s="53" t="s">
        <v>14</v>
      </c>
      <c r="C10" s="54" t="s">
        <v>230</v>
      </c>
      <c r="D10" s="53" t="s">
        <v>230</v>
      </c>
      <c r="E10" s="55" t="n">
        <v>865</v>
      </c>
      <c r="F10" s="53" t="s">
        <v>224</v>
      </c>
      <c r="G10" s="56" t="n">
        <v>803.8</v>
      </c>
      <c r="H10" s="56" t="n">
        <v>165</v>
      </c>
      <c r="I10" s="56" t="n">
        <f aca="false">G10+H10</f>
        <v>968.8</v>
      </c>
      <c r="J10" s="57" t="n">
        <f aca="false">E10*I10</f>
        <v>838012</v>
      </c>
      <c r="K10" s="56" t="n">
        <v>7</v>
      </c>
      <c r="L10" s="57" t="n">
        <f aca="false">E10*K10*30</f>
        <v>181650</v>
      </c>
      <c r="M10" s="57" t="n">
        <f aca="false">L10*0.6</f>
        <v>108990</v>
      </c>
      <c r="N10" s="57" t="n">
        <f aca="false">M10*5</f>
        <v>544950</v>
      </c>
      <c r="O10" s="57" t="n">
        <f aca="false">M10*10</f>
        <v>1089900</v>
      </c>
      <c r="P10" s="57" t="n">
        <f aca="false">M10*18</f>
        <v>1961820</v>
      </c>
      <c r="Q10" s="56" t="n">
        <v>2</v>
      </c>
      <c r="R10" s="57" t="n">
        <f aca="false">E10*Q10*30</f>
        <v>51900</v>
      </c>
      <c r="S10" s="53" t="s">
        <v>225</v>
      </c>
    </row>
    <row r="11" customFormat="false" ht="18" hidden="false" customHeight="true" outlineLevel="0" collapsed="false">
      <c r="A11" s="52" t="n">
        <v>6</v>
      </c>
      <c r="B11" s="53" t="s">
        <v>14</v>
      </c>
      <c r="C11" s="54" t="s">
        <v>231</v>
      </c>
      <c r="D11" s="53" t="s">
        <v>231</v>
      </c>
      <c r="E11" s="55" t="n">
        <v>299</v>
      </c>
      <c r="F11" s="53" t="s">
        <v>224</v>
      </c>
      <c r="G11" s="56" t="n">
        <v>803.8</v>
      </c>
      <c r="H11" s="56" t="n">
        <v>165</v>
      </c>
      <c r="I11" s="56" t="n">
        <f aca="false">G11+H11</f>
        <v>968.8</v>
      </c>
      <c r="J11" s="57" t="n">
        <f aca="false">E11*I11</f>
        <v>289671.2</v>
      </c>
      <c r="K11" s="56" t="n">
        <v>7</v>
      </c>
      <c r="L11" s="57" t="n">
        <f aca="false">E11*K11*30</f>
        <v>62790</v>
      </c>
      <c r="M11" s="57" t="n">
        <f aca="false">L11*0.6</f>
        <v>37674</v>
      </c>
      <c r="N11" s="57" t="n">
        <f aca="false">M11*5</f>
        <v>188370</v>
      </c>
      <c r="O11" s="57" t="n">
        <f aca="false">M11*10</f>
        <v>376740</v>
      </c>
      <c r="P11" s="57" t="n">
        <f aca="false">M11*18</f>
        <v>678132</v>
      </c>
      <c r="Q11" s="56" t="n">
        <v>2</v>
      </c>
      <c r="R11" s="57" t="n">
        <f aca="false">E11*Q11*30</f>
        <v>17940</v>
      </c>
      <c r="S11" s="53" t="s">
        <v>225</v>
      </c>
    </row>
    <row r="12" customFormat="false" ht="18" hidden="false" customHeight="true" outlineLevel="0" collapsed="false">
      <c r="A12" s="52" t="n">
        <v>7</v>
      </c>
      <c r="B12" s="53" t="s">
        <v>14</v>
      </c>
      <c r="C12" s="54" t="s">
        <v>232</v>
      </c>
      <c r="D12" s="53" t="s">
        <v>233</v>
      </c>
      <c r="E12" s="55" t="n">
        <v>334</v>
      </c>
      <c r="F12" s="53" t="s">
        <v>224</v>
      </c>
      <c r="G12" s="56" t="n">
        <v>803.8</v>
      </c>
      <c r="H12" s="56" t="n">
        <v>165</v>
      </c>
      <c r="I12" s="56" t="n">
        <f aca="false">G12+H12</f>
        <v>968.8</v>
      </c>
      <c r="J12" s="57" t="n">
        <f aca="false">E12*I12</f>
        <v>323579.2</v>
      </c>
      <c r="K12" s="56" t="n">
        <v>7</v>
      </c>
      <c r="L12" s="57" t="n">
        <f aca="false">E12*K12*30</f>
        <v>70140</v>
      </c>
      <c r="M12" s="57" t="n">
        <f aca="false">L12*0.6</f>
        <v>42084</v>
      </c>
      <c r="N12" s="57" t="n">
        <f aca="false">M12*5</f>
        <v>210420</v>
      </c>
      <c r="O12" s="57" t="n">
        <f aca="false">M12*10</f>
        <v>420840</v>
      </c>
      <c r="P12" s="57" t="n">
        <f aca="false">M12*18</f>
        <v>757512</v>
      </c>
      <c r="Q12" s="56" t="n">
        <v>2</v>
      </c>
      <c r="R12" s="57" t="n">
        <f aca="false">E12*Q12*30</f>
        <v>20040</v>
      </c>
      <c r="S12" s="53" t="s">
        <v>225</v>
      </c>
    </row>
    <row r="13" customFormat="false" ht="18" hidden="false" customHeight="true" outlineLevel="0" collapsed="false">
      <c r="A13" s="52" t="n">
        <v>8</v>
      </c>
      <c r="B13" s="53" t="s">
        <v>12</v>
      </c>
      <c r="C13" s="54" t="s">
        <v>234</v>
      </c>
      <c r="D13" s="53" t="s">
        <v>235</v>
      </c>
      <c r="E13" s="55" t="n">
        <v>1250</v>
      </c>
      <c r="F13" s="53" t="s">
        <v>224</v>
      </c>
      <c r="G13" s="56" t="n">
        <v>803.8</v>
      </c>
      <c r="H13" s="56" t="n">
        <v>165</v>
      </c>
      <c r="I13" s="56" t="n">
        <f aca="false">G13+H13</f>
        <v>968.8</v>
      </c>
      <c r="J13" s="57" t="n">
        <f aca="false">E13*I13</f>
        <v>1211000</v>
      </c>
      <c r="K13" s="56" t="n">
        <v>7</v>
      </c>
      <c r="L13" s="57" t="n">
        <f aca="false">E13*K13*30</f>
        <v>262500</v>
      </c>
      <c r="M13" s="57" t="n">
        <f aca="false">L13*0.6</f>
        <v>157500</v>
      </c>
      <c r="N13" s="57" t="n">
        <f aca="false">M13*5</f>
        <v>787500</v>
      </c>
      <c r="O13" s="57" t="n">
        <f aca="false">M13*10</f>
        <v>1575000</v>
      </c>
      <c r="P13" s="57" t="n">
        <f aca="false">M13*18</f>
        <v>2835000</v>
      </c>
      <c r="Q13" s="56" t="n">
        <v>2</v>
      </c>
      <c r="R13" s="57" t="n">
        <f aca="false">E13*Q13*30</f>
        <v>75000</v>
      </c>
      <c r="S13" s="53" t="s">
        <v>225</v>
      </c>
    </row>
    <row r="14" customFormat="false" ht="18" hidden="false" customHeight="true" outlineLevel="0" collapsed="false">
      <c r="A14" s="52" t="n">
        <v>9</v>
      </c>
      <c r="B14" s="53" t="s">
        <v>12</v>
      </c>
      <c r="C14" s="54" t="s">
        <v>236</v>
      </c>
      <c r="D14" s="53" t="s">
        <v>237</v>
      </c>
      <c r="E14" s="55" t="n">
        <v>2956</v>
      </c>
      <c r="F14" s="53" t="s">
        <v>224</v>
      </c>
      <c r="G14" s="56" t="n">
        <v>803.8</v>
      </c>
      <c r="H14" s="56" t="n">
        <v>165</v>
      </c>
      <c r="I14" s="56" t="n">
        <f aca="false">G14+H14</f>
        <v>968.8</v>
      </c>
      <c r="J14" s="57" t="n">
        <f aca="false">E14*I14</f>
        <v>2863772.8</v>
      </c>
      <c r="K14" s="56" t="n">
        <v>7</v>
      </c>
      <c r="L14" s="57" t="n">
        <f aca="false">E14*K14*30</f>
        <v>620760</v>
      </c>
      <c r="M14" s="57" t="n">
        <f aca="false">L14*0.6</f>
        <v>372456</v>
      </c>
      <c r="N14" s="57" t="n">
        <f aca="false">M14*5</f>
        <v>1862280</v>
      </c>
      <c r="O14" s="57" t="n">
        <f aca="false">M14*10</f>
        <v>3724560</v>
      </c>
      <c r="P14" s="57" t="n">
        <f aca="false">M14*18</f>
        <v>6704208</v>
      </c>
      <c r="Q14" s="56" t="n">
        <v>2</v>
      </c>
      <c r="R14" s="57" t="n">
        <f aca="false">E14*Q14*30</f>
        <v>177360</v>
      </c>
      <c r="S14" s="53" t="s">
        <v>225</v>
      </c>
    </row>
    <row r="15" customFormat="false" ht="18" hidden="false" customHeight="true" outlineLevel="0" collapsed="false">
      <c r="A15" s="52" t="n">
        <v>10</v>
      </c>
      <c r="B15" s="53" t="s">
        <v>12</v>
      </c>
      <c r="C15" s="54" t="s">
        <v>238</v>
      </c>
      <c r="D15" s="53" t="s">
        <v>239</v>
      </c>
      <c r="E15" s="55" t="n">
        <v>2872</v>
      </c>
      <c r="F15" s="53" t="s">
        <v>224</v>
      </c>
      <c r="G15" s="56" t="n">
        <v>803.8</v>
      </c>
      <c r="H15" s="56" t="n">
        <v>165</v>
      </c>
      <c r="I15" s="56" t="n">
        <f aca="false">G15+H15</f>
        <v>968.8</v>
      </c>
      <c r="J15" s="57" t="n">
        <f aca="false">E15*I15</f>
        <v>2782393.6</v>
      </c>
      <c r="K15" s="56" t="n">
        <v>7</v>
      </c>
      <c r="L15" s="57" t="n">
        <f aca="false">E15*K15*30</f>
        <v>603120</v>
      </c>
      <c r="M15" s="57" t="n">
        <f aca="false">L15*0.6</f>
        <v>361872</v>
      </c>
      <c r="N15" s="57" t="n">
        <f aca="false">M15*5</f>
        <v>1809360</v>
      </c>
      <c r="O15" s="57" t="n">
        <f aca="false">M15*10</f>
        <v>3618720</v>
      </c>
      <c r="P15" s="57" t="n">
        <f aca="false">M15*18</f>
        <v>6513696</v>
      </c>
      <c r="Q15" s="56" t="n">
        <v>2</v>
      </c>
      <c r="R15" s="57" t="n">
        <f aca="false">E15*Q15*30</f>
        <v>172320</v>
      </c>
      <c r="S15" s="53" t="s">
        <v>225</v>
      </c>
    </row>
    <row r="16" customFormat="false" ht="18" hidden="false" customHeight="true" outlineLevel="0" collapsed="false">
      <c r="A16" s="52" t="n">
        <v>11</v>
      </c>
      <c r="B16" s="53" t="s">
        <v>12</v>
      </c>
      <c r="C16" s="54" t="s">
        <v>240</v>
      </c>
      <c r="D16" s="53" t="s">
        <v>241</v>
      </c>
      <c r="E16" s="55" t="n">
        <v>3123</v>
      </c>
      <c r="F16" s="53" t="s">
        <v>224</v>
      </c>
      <c r="G16" s="56" t="n">
        <v>803.8</v>
      </c>
      <c r="H16" s="56" t="n">
        <v>165</v>
      </c>
      <c r="I16" s="56" t="n">
        <f aca="false">G16+H16</f>
        <v>968.8</v>
      </c>
      <c r="J16" s="57" t="n">
        <f aca="false">E16*I16</f>
        <v>3025562.4</v>
      </c>
      <c r="K16" s="56" t="n">
        <v>7</v>
      </c>
      <c r="L16" s="57" t="n">
        <f aca="false">E16*K16*30</f>
        <v>655830</v>
      </c>
      <c r="M16" s="57" t="n">
        <f aca="false">L16*0.6</f>
        <v>393498</v>
      </c>
      <c r="N16" s="57" t="n">
        <f aca="false">M16*5</f>
        <v>1967490</v>
      </c>
      <c r="O16" s="57" t="n">
        <f aca="false">M16*10</f>
        <v>3934980</v>
      </c>
      <c r="P16" s="57" t="n">
        <f aca="false">M16*18</f>
        <v>7082964</v>
      </c>
      <c r="Q16" s="56" t="n">
        <v>2</v>
      </c>
      <c r="R16" s="57" t="n">
        <f aca="false">E16*Q16*30</f>
        <v>187380</v>
      </c>
      <c r="S16" s="53" t="s">
        <v>225</v>
      </c>
    </row>
    <row r="17" customFormat="false" ht="18" hidden="false" customHeight="true" outlineLevel="0" collapsed="false">
      <c r="A17" s="52" t="n">
        <v>12</v>
      </c>
      <c r="B17" s="53" t="s">
        <v>12</v>
      </c>
      <c r="C17" s="54" t="s">
        <v>242</v>
      </c>
      <c r="D17" s="53" t="s">
        <v>243</v>
      </c>
      <c r="E17" s="55" t="n">
        <v>3092</v>
      </c>
      <c r="F17" s="53" t="s">
        <v>224</v>
      </c>
      <c r="G17" s="56" t="n">
        <v>803.8</v>
      </c>
      <c r="H17" s="56" t="n">
        <v>165</v>
      </c>
      <c r="I17" s="56" t="n">
        <f aca="false">G17+H17</f>
        <v>968.8</v>
      </c>
      <c r="J17" s="57" t="n">
        <f aca="false">E17*I17</f>
        <v>2995529.6</v>
      </c>
      <c r="K17" s="56" t="n">
        <v>7</v>
      </c>
      <c r="L17" s="57" t="n">
        <f aca="false">E17*K17*30</f>
        <v>649320</v>
      </c>
      <c r="M17" s="57" t="n">
        <f aca="false">L17*0.6</f>
        <v>389592</v>
      </c>
      <c r="N17" s="57" t="n">
        <f aca="false">M17*5</f>
        <v>1947960</v>
      </c>
      <c r="O17" s="57" t="n">
        <f aca="false">M17*10</f>
        <v>3895920</v>
      </c>
      <c r="P17" s="57" t="n">
        <f aca="false">M17*18</f>
        <v>7012656</v>
      </c>
      <c r="Q17" s="56" t="n">
        <v>2</v>
      </c>
      <c r="R17" s="57" t="n">
        <f aca="false">E17*Q17*30</f>
        <v>185520</v>
      </c>
      <c r="S17" s="53" t="s">
        <v>225</v>
      </c>
    </row>
    <row r="18" customFormat="false" ht="18" hidden="false" customHeight="true" outlineLevel="0" collapsed="false">
      <c r="A18" s="52" t="n">
        <v>13</v>
      </c>
      <c r="B18" s="53" t="s">
        <v>12</v>
      </c>
      <c r="C18" s="54" t="s">
        <v>244</v>
      </c>
      <c r="D18" s="53" t="s">
        <v>233</v>
      </c>
      <c r="E18" s="55" t="n">
        <v>894</v>
      </c>
      <c r="F18" s="53" t="s">
        <v>224</v>
      </c>
      <c r="G18" s="56" t="n">
        <v>803.8</v>
      </c>
      <c r="H18" s="56" t="n">
        <v>165</v>
      </c>
      <c r="I18" s="56" t="n">
        <f aca="false">G18+H18</f>
        <v>968.8</v>
      </c>
      <c r="J18" s="57" t="n">
        <f aca="false">E18*I18</f>
        <v>866107.2</v>
      </c>
      <c r="K18" s="56" t="n">
        <v>7</v>
      </c>
      <c r="L18" s="57" t="n">
        <f aca="false">E18*K18*30</f>
        <v>187740</v>
      </c>
      <c r="M18" s="57" t="n">
        <f aca="false">L18*0.6</f>
        <v>112644</v>
      </c>
      <c r="N18" s="57" t="n">
        <f aca="false">M18*5</f>
        <v>563220</v>
      </c>
      <c r="O18" s="57" t="n">
        <f aca="false">M18*10</f>
        <v>1126440</v>
      </c>
      <c r="P18" s="57" t="n">
        <f aca="false">M18*18</f>
        <v>2027592</v>
      </c>
      <c r="Q18" s="56" t="n">
        <v>2</v>
      </c>
      <c r="R18" s="57" t="n">
        <f aca="false">E18*Q18*30</f>
        <v>53640</v>
      </c>
      <c r="S18" s="53" t="s">
        <v>225</v>
      </c>
    </row>
    <row r="19" customFormat="false" ht="18" hidden="false" customHeight="true" outlineLevel="0" collapsed="false">
      <c r="A19" s="52" t="n">
        <v>14</v>
      </c>
      <c r="B19" s="53" t="s">
        <v>14</v>
      </c>
      <c r="C19" s="54" t="s">
        <v>245</v>
      </c>
      <c r="D19" s="53" t="s">
        <v>245</v>
      </c>
      <c r="E19" s="55" t="n">
        <v>159</v>
      </c>
      <c r="F19" s="53" t="s">
        <v>224</v>
      </c>
      <c r="G19" s="56" t="n">
        <v>803.8</v>
      </c>
      <c r="H19" s="56" t="n">
        <v>165</v>
      </c>
      <c r="I19" s="56" t="n">
        <f aca="false">G19+H19</f>
        <v>968.8</v>
      </c>
      <c r="J19" s="57" t="n">
        <f aca="false">E19*I19</f>
        <v>154039.2</v>
      </c>
      <c r="K19" s="56" t="n">
        <v>7</v>
      </c>
      <c r="L19" s="57" t="n">
        <f aca="false">E19*K19*30</f>
        <v>33390</v>
      </c>
      <c r="M19" s="57" t="n">
        <f aca="false">L19*0.6</f>
        <v>20034</v>
      </c>
      <c r="N19" s="57" t="n">
        <f aca="false">M19*5</f>
        <v>100170</v>
      </c>
      <c r="O19" s="57" t="n">
        <f aca="false">M19*10</f>
        <v>200340</v>
      </c>
      <c r="P19" s="57" t="n">
        <f aca="false">M19*18</f>
        <v>360612</v>
      </c>
      <c r="Q19" s="56" t="n">
        <v>2</v>
      </c>
      <c r="R19" s="57" t="n">
        <f aca="false">E19*Q19*30</f>
        <v>9540</v>
      </c>
      <c r="S19" s="53" t="s">
        <v>225</v>
      </c>
    </row>
    <row r="20" customFormat="false" ht="18" hidden="false" customHeight="true" outlineLevel="0" collapsed="false">
      <c r="A20" s="52" t="n">
        <v>15</v>
      </c>
      <c r="B20" s="53" t="s">
        <v>12</v>
      </c>
      <c r="C20" s="54" t="s">
        <v>246</v>
      </c>
      <c r="D20" s="53" t="s">
        <v>247</v>
      </c>
      <c r="E20" s="55" t="n">
        <v>2181</v>
      </c>
      <c r="F20" s="53" t="s">
        <v>224</v>
      </c>
      <c r="G20" s="56" t="n">
        <v>803.8</v>
      </c>
      <c r="H20" s="56" t="n">
        <v>165</v>
      </c>
      <c r="I20" s="56" t="n">
        <f aca="false">G20+H20</f>
        <v>968.8</v>
      </c>
      <c r="J20" s="57" t="n">
        <f aca="false">E20*I20</f>
        <v>2112952.8</v>
      </c>
      <c r="K20" s="56" t="n">
        <v>7</v>
      </c>
      <c r="L20" s="57" t="n">
        <f aca="false">E20*K20*30</f>
        <v>458010</v>
      </c>
      <c r="M20" s="57" t="n">
        <f aca="false">L20*0.6</f>
        <v>274806</v>
      </c>
      <c r="N20" s="57" t="n">
        <f aca="false">M20*5</f>
        <v>1374030</v>
      </c>
      <c r="O20" s="57" t="n">
        <f aca="false">M20*10</f>
        <v>2748060</v>
      </c>
      <c r="P20" s="57" t="n">
        <f aca="false">M20*18</f>
        <v>4946508</v>
      </c>
      <c r="Q20" s="56" t="n">
        <v>2</v>
      </c>
      <c r="R20" s="57" t="n">
        <f aca="false">E20*Q20*30</f>
        <v>130860</v>
      </c>
      <c r="S20" s="53" t="s">
        <v>225</v>
      </c>
    </row>
    <row r="21" customFormat="false" ht="18" hidden="false" customHeight="true" outlineLevel="0" collapsed="false">
      <c r="A21" s="52" t="n">
        <v>16</v>
      </c>
      <c r="B21" s="53" t="s">
        <v>14</v>
      </c>
      <c r="C21" s="54" t="s">
        <v>248</v>
      </c>
      <c r="D21" s="53" t="s">
        <v>248</v>
      </c>
      <c r="E21" s="55" t="n">
        <v>1750</v>
      </c>
      <c r="F21" s="53" t="s">
        <v>224</v>
      </c>
      <c r="G21" s="56" t="n">
        <v>803.8</v>
      </c>
      <c r="H21" s="56" t="n">
        <v>165</v>
      </c>
      <c r="I21" s="56" t="n">
        <f aca="false">G21+H21</f>
        <v>968.8</v>
      </c>
      <c r="J21" s="57" t="n">
        <f aca="false">E21*I21</f>
        <v>1695400</v>
      </c>
      <c r="K21" s="56" t="n">
        <v>7</v>
      </c>
      <c r="L21" s="57" t="n">
        <f aca="false">E21*K21*30</f>
        <v>367500</v>
      </c>
      <c r="M21" s="57" t="n">
        <f aca="false">L21*0.6</f>
        <v>220500</v>
      </c>
      <c r="N21" s="57" t="n">
        <f aca="false">M21*5</f>
        <v>1102500</v>
      </c>
      <c r="O21" s="57" t="n">
        <f aca="false">M21*10</f>
        <v>2205000</v>
      </c>
      <c r="P21" s="57" t="n">
        <f aca="false">M21*18</f>
        <v>3969000</v>
      </c>
      <c r="Q21" s="56" t="n">
        <v>2</v>
      </c>
      <c r="R21" s="57" t="n">
        <f aca="false">E21*Q21*30</f>
        <v>105000</v>
      </c>
      <c r="S21" s="53" t="s">
        <v>225</v>
      </c>
    </row>
    <row r="22" customFormat="false" ht="18" hidden="false" customHeight="true" outlineLevel="0" collapsed="false">
      <c r="A22" s="52" t="n">
        <v>17</v>
      </c>
      <c r="B22" s="53" t="s">
        <v>12</v>
      </c>
      <c r="C22" s="54" t="s">
        <v>249</v>
      </c>
      <c r="D22" s="53" t="s">
        <v>250</v>
      </c>
      <c r="E22" s="55" t="n">
        <v>5110</v>
      </c>
      <c r="F22" s="53" t="s">
        <v>224</v>
      </c>
      <c r="G22" s="56" t="n">
        <v>803.8</v>
      </c>
      <c r="H22" s="56" t="n">
        <v>165</v>
      </c>
      <c r="I22" s="56" t="n">
        <f aca="false">G22+H22</f>
        <v>968.8</v>
      </c>
      <c r="J22" s="57" t="n">
        <f aca="false">E22*I22</f>
        <v>4950568</v>
      </c>
      <c r="K22" s="56" t="n">
        <v>7</v>
      </c>
      <c r="L22" s="57" t="n">
        <f aca="false">E22*K22*30</f>
        <v>1073100</v>
      </c>
      <c r="M22" s="57" t="n">
        <f aca="false">L22*0.6</f>
        <v>643860</v>
      </c>
      <c r="N22" s="57" t="n">
        <f aca="false">M22*5</f>
        <v>3219300</v>
      </c>
      <c r="O22" s="57" t="n">
        <f aca="false">M22*10</f>
        <v>6438600</v>
      </c>
      <c r="P22" s="57" t="n">
        <f aca="false">M22*18</f>
        <v>11589480</v>
      </c>
      <c r="Q22" s="56" t="n">
        <v>2</v>
      </c>
      <c r="R22" s="57" t="n">
        <f aca="false">E22*Q22*30</f>
        <v>306600</v>
      </c>
      <c r="S22" s="53" t="s">
        <v>225</v>
      </c>
    </row>
    <row r="23" customFormat="false" ht="18" hidden="false" customHeight="true" outlineLevel="0" collapsed="false">
      <c r="A23" s="52" t="n">
        <v>18</v>
      </c>
      <c r="B23" s="53" t="s">
        <v>221</v>
      </c>
      <c r="C23" s="54" t="s">
        <v>251</v>
      </c>
      <c r="D23" s="53" t="s">
        <v>252</v>
      </c>
      <c r="E23" s="55" t="n">
        <v>177</v>
      </c>
      <c r="F23" s="53" t="s">
        <v>224</v>
      </c>
      <c r="G23" s="56" t="n">
        <v>803.8</v>
      </c>
      <c r="H23" s="56" t="n">
        <v>165</v>
      </c>
      <c r="I23" s="56" t="n">
        <f aca="false">G23+H23</f>
        <v>968.8</v>
      </c>
      <c r="J23" s="57" t="n">
        <f aca="false">E23*I23</f>
        <v>171477.6</v>
      </c>
      <c r="K23" s="56" t="n">
        <v>7</v>
      </c>
      <c r="L23" s="57" t="n">
        <f aca="false">E23*K23*30</f>
        <v>37170</v>
      </c>
      <c r="M23" s="57" t="n">
        <f aca="false">L23*0.6</f>
        <v>22302</v>
      </c>
      <c r="N23" s="57" t="n">
        <f aca="false">M23*5</f>
        <v>111510</v>
      </c>
      <c r="O23" s="57" t="n">
        <f aca="false">M23*10</f>
        <v>223020</v>
      </c>
      <c r="P23" s="57" t="n">
        <f aca="false">M23*18</f>
        <v>401436</v>
      </c>
      <c r="Q23" s="56" t="n">
        <v>2</v>
      </c>
      <c r="R23" s="57" t="n">
        <f aca="false">E23*Q23*30</f>
        <v>10620</v>
      </c>
      <c r="S23" s="53" t="s">
        <v>225</v>
      </c>
    </row>
    <row r="24" customFormat="false" ht="18" hidden="false" customHeight="true" outlineLevel="0" collapsed="false">
      <c r="A24" s="52" t="n">
        <v>19</v>
      </c>
      <c r="B24" s="53" t="s">
        <v>12</v>
      </c>
      <c r="C24" s="54" t="s">
        <v>253</v>
      </c>
      <c r="D24" s="53" t="s">
        <v>254</v>
      </c>
      <c r="E24" s="55" t="n">
        <v>996</v>
      </c>
      <c r="F24" s="53" t="s">
        <v>224</v>
      </c>
      <c r="G24" s="56" t="n">
        <v>803.8</v>
      </c>
      <c r="H24" s="56" t="n">
        <v>165</v>
      </c>
      <c r="I24" s="56" t="n">
        <f aca="false">G24+H24</f>
        <v>968.8</v>
      </c>
      <c r="J24" s="57" t="n">
        <f aca="false">E24*I24</f>
        <v>964924.8</v>
      </c>
      <c r="K24" s="56" t="n">
        <v>7</v>
      </c>
      <c r="L24" s="57" t="n">
        <f aca="false">E24*K24*30</f>
        <v>209160</v>
      </c>
      <c r="M24" s="57" t="n">
        <f aca="false">L24*0.6</f>
        <v>125496</v>
      </c>
      <c r="N24" s="57" t="n">
        <f aca="false">M24*5</f>
        <v>627480</v>
      </c>
      <c r="O24" s="57" t="n">
        <f aca="false">M24*10</f>
        <v>1254960</v>
      </c>
      <c r="P24" s="57" t="n">
        <f aca="false">M24*18</f>
        <v>2258928</v>
      </c>
      <c r="Q24" s="56" t="n">
        <v>2</v>
      </c>
      <c r="R24" s="57" t="n">
        <f aca="false">E24*Q24*30</f>
        <v>59760</v>
      </c>
      <c r="S24" s="53" t="s">
        <v>225</v>
      </c>
    </row>
    <row r="25" customFormat="false" ht="18" hidden="false" customHeight="true" outlineLevel="0" collapsed="false">
      <c r="A25" s="52" t="n">
        <v>20</v>
      </c>
      <c r="B25" s="53" t="s">
        <v>255</v>
      </c>
      <c r="C25" s="54" t="s">
        <v>256</v>
      </c>
      <c r="D25" s="53" t="s">
        <v>257</v>
      </c>
      <c r="E25" s="55" t="n">
        <v>1466</v>
      </c>
      <c r="F25" s="53" t="s">
        <v>224</v>
      </c>
      <c r="G25" s="56" t="n">
        <v>803.8</v>
      </c>
      <c r="H25" s="56" t="n">
        <v>165</v>
      </c>
      <c r="I25" s="56" t="n">
        <f aca="false">G25+H25</f>
        <v>968.8</v>
      </c>
      <c r="J25" s="57" t="n">
        <f aca="false">E25*I25</f>
        <v>1420260.8</v>
      </c>
      <c r="K25" s="56" t="n">
        <v>7</v>
      </c>
      <c r="L25" s="57" t="n">
        <f aca="false">E25*K25*30</f>
        <v>307860</v>
      </c>
      <c r="M25" s="57" t="n">
        <f aca="false">L25*0.6</f>
        <v>184716</v>
      </c>
      <c r="N25" s="57" t="n">
        <f aca="false">M25*5</f>
        <v>923580</v>
      </c>
      <c r="O25" s="57" t="n">
        <f aca="false">M25*10</f>
        <v>1847160</v>
      </c>
      <c r="P25" s="57" t="n">
        <f aca="false">M25*18</f>
        <v>3324888</v>
      </c>
      <c r="Q25" s="56" t="n">
        <v>2</v>
      </c>
      <c r="R25" s="57" t="n">
        <f aca="false">E25*Q25*30</f>
        <v>87960</v>
      </c>
      <c r="S25" s="53" t="s">
        <v>225</v>
      </c>
    </row>
    <row r="26" customFormat="false" ht="18" hidden="false" customHeight="true" outlineLevel="0" collapsed="false">
      <c r="A26" s="52" t="n">
        <v>21</v>
      </c>
      <c r="B26" s="53" t="s">
        <v>12</v>
      </c>
      <c r="C26" s="54" t="s">
        <v>258</v>
      </c>
      <c r="D26" s="53" t="s">
        <v>231</v>
      </c>
      <c r="E26" s="55" t="n">
        <v>1046</v>
      </c>
      <c r="F26" s="53" t="s">
        <v>224</v>
      </c>
      <c r="G26" s="56" t="n">
        <v>803.8</v>
      </c>
      <c r="H26" s="56" t="n">
        <v>165</v>
      </c>
      <c r="I26" s="56" t="n">
        <f aca="false">G26+H26</f>
        <v>968.8</v>
      </c>
      <c r="J26" s="57" t="n">
        <f aca="false">E26*I26</f>
        <v>1013364.8</v>
      </c>
      <c r="K26" s="56" t="n">
        <v>7</v>
      </c>
      <c r="L26" s="57" t="n">
        <f aca="false">E26*K26*30</f>
        <v>219660</v>
      </c>
      <c r="M26" s="57" t="n">
        <f aca="false">L26*0.6</f>
        <v>131796</v>
      </c>
      <c r="N26" s="57" t="n">
        <f aca="false">M26*5</f>
        <v>658980</v>
      </c>
      <c r="O26" s="57" t="n">
        <f aca="false">M26*10</f>
        <v>1317960</v>
      </c>
      <c r="P26" s="57" t="n">
        <f aca="false">M26*18</f>
        <v>2372328</v>
      </c>
      <c r="Q26" s="56" t="n">
        <v>2</v>
      </c>
      <c r="R26" s="57" t="n">
        <f aca="false">E26*Q26*30</f>
        <v>62760</v>
      </c>
      <c r="S26" s="53" t="s">
        <v>225</v>
      </c>
    </row>
    <row r="27" customFormat="false" ht="18" hidden="false" customHeight="true" outlineLevel="0" collapsed="false">
      <c r="A27" s="52" t="n">
        <v>22</v>
      </c>
      <c r="B27" s="53" t="s">
        <v>255</v>
      </c>
      <c r="C27" s="54" t="s">
        <v>259</v>
      </c>
      <c r="D27" s="53" t="s">
        <v>260</v>
      </c>
      <c r="E27" s="55" t="n">
        <v>936</v>
      </c>
      <c r="F27" s="53" t="s">
        <v>224</v>
      </c>
      <c r="G27" s="56" t="n">
        <v>803.8</v>
      </c>
      <c r="H27" s="56" t="n">
        <v>165</v>
      </c>
      <c r="I27" s="56" t="n">
        <f aca="false">G27+H27</f>
        <v>968.8</v>
      </c>
      <c r="J27" s="57" t="n">
        <f aca="false">E27*I27</f>
        <v>906796.8</v>
      </c>
      <c r="K27" s="56" t="n">
        <v>7</v>
      </c>
      <c r="L27" s="57" t="n">
        <f aca="false">E27*K27*30</f>
        <v>196560</v>
      </c>
      <c r="M27" s="57" t="n">
        <f aca="false">L27*0.6</f>
        <v>117936</v>
      </c>
      <c r="N27" s="57" t="n">
        <f aca="false">M27*5</f>
        <v>589680</v>
      </c>
      <c r="O27" s="57" t="n">
        <f aca="false">M27*10</f>
        <v>1179360</v>
      </c>
      <c r="P27" s="57" t="n">
        <f aca="false">M27*18</f>
        <v>2122848</v>
      </c>
      <c r="Q27" s="56" t="n">
        <v>2</v>
      </c>
      <c r="R27" s="57" t="n">
        <f aca="false">E27*Q27*30</f>
        <v>56160</v>
      </c>
      <c r="S27" s="53" t="s">
        <v>225</v>
      </c>
    </row>
    <row r="28" customFormat="false" ht="18" hidden="false" customHeight="true" outlineLevel="0" collapsed="false">
      <c r="A28" s="52" t="n">
        <v>23</v>
      </c>
      <c r="B28" s="53" t="s">
        <v>12</v>
      </c>
      <c r="C28" s="54" t="s">
        <v>261</v>
      </c>
      <c r="D28" s="53" t="s">
        <v>262</v>
      </c>
      <c r="E28" s="55" t="n">
        <v>2012</v>
      </c>
      <c r="F28" s="53" t="s">
        <v>224</v>
      </c>
      <c r="G28" s="56" t="n">
        <v>803.8</v>
      </c>
      <c r="H28" s="56" t="n">
        <v>165</v>
      </c>
      <c r="I28" s="56" t="n">
        <f aca="false">G28+H28</f>
        <v>968.8</v>
      </c>
      <c r="J28" s="57" t="n">
        <f aca="false">E28*I28</f>
        <v>1949225.6</v>
      </c>
      <c r="K28" s="56" t="n">
        <v>7</v>
      </c>
      <c r="L28" s="57" t="n">
        <f aca="false">E28*K28*30</f>
        <v>422520</v>
      </c>
      <c r="M28" s="57" t="n">
        <f aca="false">L28*0.6</f>
        <v>253512</v>
      </c>
      <c r="N28" s="57" t="n">
        <f aca="false">M28*5</f>
        <v>1267560</v>
      </c>
      <c r="O28" s="57" t="n">
        <f aca="false">M28*10</f>
        <v>2535120</v>
      </c>
      <c r="P28" s="57" t="n">
        <f aca="false">M28*18</f>
        <v>4563216</v>
      </c>
      <c r="Q28" s="56" t="n">
        <v>2</v>
      </c>
      <c r="R28" s="57" t="n">
        <f aca="false">E28*Q28*30</f>
        <v>120720</v>
      </c>
      <c r="S28" s="53" t="s">
        <v>225</v>
      </c>
    </row>
    <row r="29" customFormat="false" ht="18" hidden="false" customHeight="true" outlineLevel="0" collapsed="false">
      <c r="A29" s="52" t="n">
        <v>24</v>
      </c>
      <c r="B29" s="53" t="s">
        <v>12</v>
      </c>
      <c r="C29" s="54" t="s">
        <v>263</v>
      </c>
      <c r="D29" s="53" t="s">
        <v>264</v>
      </c>
      <c r="E29" s="55" t="n">
        <v>14224</v>
      </c>
      <c r="F29" s="53" t="s">
        <v>224</v>
      </c>
      <c r="G29" s="56" t="n">
        <v>803.8</v>
      </c>
      <c r="H29" s="56" t="n">
        <v>165</v>
      </c>
      <c r="I29" s="56" t="n">
        <f aca="false">G29+H29</f>
        <v>968.8</v>
      </c>
      <c r="J29" s="57" t="n">
        <f aca="false">E29*I29</f>
        <v>13780211.2</v>
      </c>
      <c r="K29" s="56" t="n">
        <v>7</v>
      </c>
      <c r="L29" s="57" t="n">
        <f aca="false">E29*K29*30</f>
        <v>2987040</v>
      </c>
      <c r="M29" s="57" t="n">
        <f aca="false">L29*0.6</f>
        <v>1792224</v>
      </c>
      <c r="N29" s="57" t="n">
        <f aca="false">M29*5</f>
        <v>8961120</v>
      </c>
      <c r="O29" s="57" t="n">
        <f aca="false">M29*10</f>
        <v>17922240</v>
      </c>
      <c r="P29" s="57" t="n">
        <f aca="false">M29*18</f>
        <v>32260032</v>
      </c>
      <c r="Q29" s="56" t="n">
        <v>2</v>
      </c>
      <c r="R29" s="57" t="n">
        <f aca="false">E29*Q29*30</f>
        <v>853440</v>
      </c>
      <c r="S29" s="53" t="s">
        <v>225</v>
      </c>
    </row>
    <row r="30" customFormat="false" ht="18" hidden="false" customHeight="true" outlineLevel="0" collapsed="false">
      <c r="A30" s="52" t="n">
        <v>25</v>
      </c>
      <c r="B30" s="53" t="s">
        <v>12</v>
      </c>
      <c r="C30" s="54" t="s">
        <v>265</v>
      </c>
      <c r="D30" s="53" t="s">
        <v>266</v>
      </c>
      <c r="E30" s="55" t="n">
        <v>7444</v>
      </c>
      <c r="F30" s="53" t="s">
        <v>224</v>
      </c>
      <c r="G30" s="56" t="n">
        <v>803.8</v>
      </c>
      <c r="H30" s="56" t="n">
        <v>165</v>
      </c>
      <c r="I30" s="56" t="n">
        <f aca="false">G30+H30</f>
        <v>968.8</v>
      </c>
      <c r="J30" s="57" t="n">
        <f aca="false">E30*I30</f>
        <v>7211747.2</v>
      </c>
      <c r="K30" s="56" t="n">
        <v>7</v>
      </c>
      <c r="L30" s="57" t="n">
        <f aca="false">E30*K30*30</f>
        <v>1563240</v>
      </c>
      <c r="M30" s="57" t="n">
        <f aca="false">L30*0.6</f>
        <v>937944</v>
      </c>
      <c r="N30" s="57" t="n">
        <f aca="false">M30*5</f>
        <v>4689720</v>
      </c>
      <c r="O30" s="57" t="n">
        <f aca="false">M30*10</f>
        <v>9379440</v>
      </c>
      <c r="P30" s="57" t="n">
        <f aca="false">M30*18</f>
        <v>16882992</v>
      </c>
      <c r="Q30" s="56" t="n">
        <v>2</v>
      </c>
      <c r="R30" s="57" t="n">
        <f aca="false">E30*Q30*30</f>
        <v>446640</v>
      </c>
      <c r="S30" s="53" t="s">
        <v>225</v>
      </c>
    </row>
    <row r="31" customFormat="false" ht="18" hidden="false" customHeight="true" outlineLevel="0" collapsed="false">
      <c r="A31" s="52" t="n">
        <v>26</v>
      </c>
      <c r="B31" s="53" t="s">
        <v>221</v>
      </c>
      <c r="C31" s="54" t="s">
        <v>267</v>
      </c>
      <c r="D31" s="53" t="s">
        <v>268</v>
      </c>
      <c r="E31" s="55" t="n">
        <v>1295</v>
      </c>
      <c r="F31" s="53" t="s">
        <v>224</v>
      </c>
      <c r="G31" s="56" t="n">
        <v>803.8</v>
      </c>
      <c r="H31" s="56" t="n">
        <v>165</v>
      </c>
      <c r="I31" s="56" t="n">
        <f aca="false">G31+H31</f>
        <v>968.8</v>
      </c>
      <c r="J31" s="57" t="n">
        <f aca="false">E31*I31</f>
        <v>1254596</v>
      </c>
      <c r="K31" s="56" t="n">
        <v>7</v>
      </c>
      <c r="L31" s="57" t="n">
        <f aca="false">E31*K31*30</f>
        <v>271950</v>
      </c>
      <c r="M31" s="57" t="n">
        <f aca="false">L31*0.6</f>
        <v>163170</v>
      </c>
      <c r="N31" s="57" t="n">
        <f aca="false">M31*5</f>
        <v>815850</v>
      </c>
      <c r="O31" s="57" t="n">
        <f aca="false">M31*10</f>
        <v>1631700</v>
      </c>
      <c r="P31" s="57" t="n">
        <f aca="false">M31*18</f>
        <v>2937060</v>
      </c>
      <c r="Q31" s="56" t="n">
        <v>2</v>
      </c>
      <c r="R31" s="57" t="n">
        <f aca="false">E31*Q31*30</f>
        <v>77700</v>
      </c>
      <c r="S31" s="53" t="s">
        <v>225</v>
      </c>
    </row>
    <row r="32" customFormat="false" ht="18" hidden="false" customHeight="true" outlineLevel="0" collapsed="false">
      <c r="A32" s="52" t="n">
        <v>27</v>
      </c>
      <c r="B32" s="53" t="s">
        <v>221</v>
      </c>
      <c r="C32" s="54" t="s">
        <v>269</v>
      </c>
      <c r="D32" s="53" t="s">
        <v>270</v>
      </c>
      <c r="E32" s="55" t="n">
        <v>223</v>
      </c>
      <c r="F32" s="53" t="s">
        <v>224</v>
      </c>
      <c r="G32" s="56" t="n">
        <v>803.8</v>
      </c>
      <c r="H32" s="56" t="n">
        <v>165</v>
      </c>
      <c r="I32" s="56" t="n">
        <f aca="false">G32+H32</f>
        <v>968.8</v>
      </c>
      <c r="J32" s="57" t="n">
        <f aca="false">E32*I32</f>
        <v>216042.4</v>
      </c>
      <c r="K32" s="56" t="n">
        <v>7</v>
      </c>
      <c r="L32" s="57" t="n">
        <f aca="false">E32*K32*30</f>
        <v>46830</v>
      </c>
      <c r="M32" s="57" t="n">
        <f aca="false">L32*0.6</f>
        <v>28098</v>
      </c>
      <c r="N32" s="57" t="n">
        <f aca="false">M32*5</f>
        <v>140490</v>
      </c>
      <c r="O32" s="57" t="n">
        <f aca="false">M32*10</f>
        <v>280980</v>
      </c>
      <c r="P32" s="57" t="n">
        <f aca="false">M32*18</f>
        <v>505764</v>
      </c>
      <c r="Q32" s="56" t="n">
        <v>2</v>
      </c>
      <c r="R32" s="57" t="n">
        <f aca="false">E32*Q32*30</f>
        <v>13380</v>
      </c>
      <c r="S32" s="53" t="s">
        <v>225</v>
      </c>
    </row>
    <row r="33" customFormat="false" ht="18" hidden="false" customHeight="true" outlineLevel="0" collapsed="false">
      <c r="A33" s="52" t="n">
        <v>28</v>
      </c>
      <c r="B33" s="53" t="s">
        <v>221</v>
      </c>
      <c r="C33" s="54" t="s">
        <v>271</v>
      </c>
      <c r="D33" s="53" t="s">
        <v>272</v>
      </c>
      <c r="E33" s="55" t="n">
        <v>178</v>
      </c>
      <c r="F33" s="53" t="s">
        <v>224</v>
      </c>
      <c r="G33" s="56" t="n">
        <v>803.8</v>
      </c>
      <c r="H33" s="56" t="n">
        <v>165</v>
      </c>
      <c r="I33" s="56" t="n">
        <f aca="false">G33+H33</f>
        <v>968.8</v>
      </c>
      <c r="J33" s="57" t="n">
        <f aca="false">E33*I33</f>
        <v>172446.4</v>
      </c>
      <c r="K33" s="56" t="n">
        <v>7</v>
      </c>
      <c r="L33" s="57" t="n">
        <f aca="false">E33*K33*30</f>
        <v>37380</v>
      </c>
      <c r="M33" s="57" t="n">
        <f aca="false">L33*0.6</f>
        <v>22428</v>
      </c>
      <c r="N33" s="57" t="n">
        <f aca="false">M33*5</f>
        <v>112140</v>
      </c>
      <c r="O33" s="57" t="n">
        <f aca="false">M33*10</f>
        <v>224280</v>
      </c>
      <c r="P33" s="57" t="n">
        <f aca="false">M33*18</f>
        <v>403704</v>
      </c>
      <c r="Q33" s="56" t="n">
        <v>2</v>
      </c>
      <c r="R33" s="57" t="n">
        <f aca="false">E33*Q33*30</f>
        <v>10680</v>
      </c>
      <c r="S33" s="53" t="s">
        <v>225</v>
      </c>
    </row>
    <row r="34" customFormat="false" ht="18" hidden="false" customHeight="true" outlineLevel="0" collapsed="false">
      <c r="A34" s="52" t="n">
        <v>29</v>
      </c>
      <c r="B34" s="53" t="s">
        <v>221</v>
      </c>
      <c r="C34" s="54" t="s">
        <v>273</v>
      </c>
      <c r="D34" s="53" t="s">
        <v>274</v>
      </c>
      <c r="E34" s="55" t="n">
        <v>472.7</v>
      </c>
      <c r="F34" s="53" t="s">
        <v>224</v>
      </c>
      <c r="G34" s="56" t="n">
        <v>803.8</v>
      </c>
      <c r="H34" s="56" t="n">
        <v>165</v>
      </c>
      <c r="I34" s="56" t="n">
        <f aca="false">G34+H34</f>
        <v>968.8</v>
      </c>
      <c r="J34" s="57" t="n">
        <f aca="false">E34*I34</f>
        <v>457951.76</v>
      </c>
      <c r="K34" s="56" t="n">
        <v>7</v>
      </c>
      <c r="L34" s="57" t="n">
        <f aca="false">E34*K34*30</f>
        <v>99267</v>
      </c>
      <c r="M34" s="57" t="n">
        <f aca="false">L34*0.6</f>
        <v>59560.2</v>
      </c>
      <c r="N34" s="57" t="n">
        <f aca="false">M34*5</f>
        <v>297801</v>
      </c>
      <c r="O34" s="57" t="n">
        <f aca="false">M34*10</f>
        <v>595602</v>
      </c>
      <c r="P34" s="57" t="n">
        <f aca="false">M34*18</f>
        <v>1072083.6</v>
      </c>
      <c r="Q34" s="56" t="n">
        <v>2</v>
      </c>
      <c r="R34" s="57" t="n">
        <f aca="false">E34*Q34*30</f>
        <v>28362</v>
      </c>
      <c r="S34" s="53" t="s">
        <v>225</v>
      </c>
    </row>
    <row r="35" customFormat="false" ht="18" hidden="false" customHeight="true" outlineLevel="0" collapsed="false">
      <c r="A35" s="52" t="n">
        <v>30</v>
      </c>
      <c r="B35" s="53" t="s">
        <v>221</v>
      </c>
      <c r="C35" s="54" t="s">
        <v>275</v>
      </c>
      <c r="D35" s="53" t="s">
        <v>276</v>
      </c>
      <c r="E35" s="55" t="n">
        <v>240</v>
      </c>
      <c r="F35" s="53" t="s">
        <v>224</v>
      </c>
      <c r="G35" s="56" t="n">
        <v>803.8</v>
      </c>
      <c r="H35" s="56" t="n">
        <v>165</v>
      </c>
      <c r="I35" s="56" t="n">
        <f aca="false">G35+H35</f>
        <v>968.8</v>
      </c>
      <c r="J35" s="57" t="n">
        <f aca="false">E35*I35</f>
        <v>232512</v>
      </c>
      <c r="K35" s="56" t="n">
        <v>7</v>
      </c>
      <c r="L35" s="57" t="n">
        <f aca="false">E35*K35*30</f>
        <v>50400</v>
      </c>
      <c r="M35" s="57" t="n">
        <f aca="false">L35*0.6</f>
        <v>30240</v>
      </c>
      <c r="N35" s="57" t="n">
        <f aca="false">M35*5</f>
        <v>151200</v>
      </c>
      <c r="O35" s="57" t="n">
        <f aca="false">M35*10</f>
        <v>302400</v>
      </c>
      <c r="P35" s="57" t="n">
        <f aca="false">M35*18</f>
        <v>544320</v>
      </c>
      <c r="Q35" s="56" t="n">
        <v>2</v>
      </c>
      <c r="R35" s="57" t="n">
        <f aca="false">E35*Q35*30</f>
        <v>14400</v>
      </c>
      <c r="S35" s="53" t="s">
        <v>225</v>
      </c>
    </row>
    <row r="36" customFormat="false" ht="18" hidden="false" customHeight="true" outlineLevel="0" collapsed="false">
      <c r="A36" s="52" t="n">
        <v>31</v>
      </c>
      <c r="B36" s="53" t="s">
        <v>221</v>
      </c>
      <c r="C36" s="54" t="s">
        <v>277</v>
      </c>
      <c r="D36" s="53" t="s">
        <v>278</v>
      </c>
      <c r="E36" s="55" t="n">
        <v>751.29</v>
      </c>
      <c r="F36" s="53" t="s">
        <v>224</v>
      </c>
      <c r="G36" s="56" t="n">
        <v>803.8</v>
      </c>
      <c r="H36" s="56" t="n">
        <v>165</v>
      </c>
      <c r="I36" s="56" t="n">
        <f aca="false">G36+H36</f>
        <v>968.8</v>
      </c>
      <c r="J36" s="57" t="n">
        <f aca="false">E36*I36</f>
        <v>727849.752</v>
      </c>
      <c r="K36" s="56" t="n">
        <v>7</v>
      </c>
      <c r="L36" s="57" t="n">
        <f aca="false">E36*K36*30</f>
        <v>157770.9</v>
      </c>
      <c r="M36" s="57" t="n">
        <f aca="false">L36*0.6</f>
        <v>94662.54</v>
      </c>
      <c r="N36" s="57" t="n">
        <f aca="false">M36*5</f>
        <v>473312.7</v>
      </c>
      <c r="O36" s="57" t="n">
        <f aca="false">M36*10</f>
        <v>946625.4</v>
      </c>
      <c r="P36" s="57" t="n">
        <f aca="false">M36*18</f>
        <v>1703925.72</v>
      </c>
      <c r="Q36" s="56" t="n">
        <v>2</v>
      </c>
      <c r="R36" s="57" t="n">
        <f aca="false">E36*Q36*30</f>
        <v>45077.4</v>
      </c>
      <c r="S36" s="53" t="s">
        <v>225</v>
      </c>
    </row>
    <row r="37" customFormat="false" ht="18" hidden="false" customHeight="true" outlineLevel="0" collapsed="false">
      <c r="A37" s="52" t="n">
        <v>32</v>
      </c>
      <c r="B37" s="53" t="s">
        <v>221</v>
      </c>
      <c r="C37" s="54" t="s">
        <v>279</v>
      </c>
      <c r="D37" s="53" t="s">
        <v>280</v>
      </c>
      <c r="E37" s="55" t="n">
        <v>196</v>
      </c>
      <c r="F37" s="53" t="s">
        <v>224</v>
      </c>
      <c r="G37" s="56" t="n">
        <v>803.8</v>
      </c>
      <c r="H37" s="56" t="n">
        <v>165</v>
      </c>
      <c r="I37" s="56" t="n">
        <f aca="false">G37+H37</f>
        <v>968.8</v>
      </c>
      <c r="J37" s="57" t="n">
        <f aca="false">E37*I37</f>
        <v>189884.8</v>
      </c>
      <c r="K37" s="56" t="n">
        <v>7</v>
      </c>
      <c r="L37" s="57" t="n">
        <f aca="false">E37*K37*30</f>
        <v>41160</v>
      </c>
      <c r="M37" s="57" t="n">
        <f aca="false">L37*0.6</f>
        <v>24696</v>
      </c>
      <c r="N37" s="57" t="n">
        <f aca="false">M37*5</f>
        <v>123480</v>
      </c>
      <c r="O37" s="57" t="n">
        <f aca="false">M37*10</f>
        <v>246960</v>
      </c>
      <c r="P37" s="57" t="n">
        <f aca="false">M37*18</f>
        <v>444528</v>
      </c>
      <c r="Q37" s="56" t="n">
        <v>2</v>
      </c>
      <c r="R37" s="57" t="n">
        <f aca="false">E37*Q37*30</f>
        <v>11760</v>
      </c>
      <c r="S37" s="53" t="s">
        <v>225</v>
      </c>
    </row>
    <row r="38" customFormat="false" ht="18" hidden="false" customHeight="true" outlineLevel="0" collapsed="false">
      <c r="A38" s="52" t="n">
        <v>33</v>
      </c>
      <c r="B38" s="53" t="s">
        <v>12</v>
      </c>
      <c r="C38" s="54" t="s">
        <v>281</v>
      </c>
      <c r="D38" s="53" t="s">
        <v>282</v>
      </c>
      <c r="E38" s="55" t="n">
        <v>5416</v>
      </c>
      <c r="F38" s="53" t="s">
        <v>224</v>
      </c>
      <c r="G38" s="56" t="n">
        <v>803.8</v>
      </c>
      <c r="H38" s="56" t="n">
        <v>165</v>
      </c>
      <c r="I38" s="56" t="n">
        <f aca="false">G38+H38</f>
        <v>968.8</v>
      </c>
      <c r="J38" s="57" t="n">
        <f aca="false">E38*I38</f>
        <v>5247020.8</v>
      </c>
      <c r="K38" s="56" t="n">
        <v>7</v>
      </c>
      <c r="L38" s="57" t="n">
        <f aca="false">E38*K38*30</f>
        <v>1137360</v>
      </c>
      <c r="M38" s="57" t="n">
        <f aca="false">L38*0.6</f>
        <v>682416</v>
      </c>
      <c r="N38" s="57" t="n">
        <f aca="false">M38*5</f>
        <v>3412080</v>
      </c>
      <c r="O38" s="57" t="n">
        <f aca="false">M38*10</f>
        <v>6824160</v>
      </c>
      <c r="P38" s="57" t="n">
        <f aca="false">M38*18</f>
        <v>12283488</v>
      </c>
      <c r="Q38" s="56" t="n">
        <v>2</v>
      </c>
      <c r="R38" s="57" t="n">
        <f aca="false">E38*Q38*30</f>
        <v>324960</v>
      </c>
      <c r="S38" s="53" t="s">
        <v>225</v>
      </c>
    </row>
    <row r="39" customFormat="false" ht="18" hidden="false" customHeight="true" outlineLevel="0" collapsed="false">
      <c r="A39" s="52" t="n">
        <v>34</v>
      </c>
      <c r="B39" s="53" t="s">
        <v>283</v>
      </c>
      <c r="C39" s="54" t="s">
        <v>284</v>
      </c>
      <c r="D39" s="53" t="s">
        <v>285</v>
      </c>
      <c r="E39" s="55" t="n">
        <v>4525</v>
      </c>
      <c r="F39" s="53" t="s">
        <v>224</v>
      </c>
      <c r="G39" s="56" t="n">
        <v>803.8</v>
      </c>
      <c r="H39" s="56" t="n">
        <v>165</v>
      </c>
      <c r="I39" s="56" t="n">
        <f aca="false">G39+H39</f>
        <v>968.8</v>
      </c>
      <c r="J39" s="57" t="n">
        <f aca="false">E39*I39</f>
        <v>4383820</v>
      </c>
      <c r="K39" s="56" t="n">
        <v>7</v>
      </c>
      <c r="L39" s="57" t="n">
        <f aca="false">E39*K39*30</f>
        <v>950250</v>
      </c>
      <c r="M39" s="57" t="n">
        <f aca="false">L39*0.6</f>
        <v>570150</v>
      </c>
      <c r="N39" s="57" t="n">
        <f aca="false">M39*5</f>
        <v>2850750</v>
      </c>
      <c r="O39" s="57" t="n">
        <f aca="false">M39*10</f>
        <v>5701500</v>
      </c>
      <c r="P39" s="57" t="n">
        <f aca="false">M39*18</f>
        <v>10262700</v>
      </c>
      <c r="Q39" s="56" t="n">
        <v>2</v>
      </c>
      <c r="R39" s="57" t="n">
        <f aca="false">E39*Q39*30</f>
        <v>271500</v>
      </c>
      <c r="S39" s="53" t="s">
        <v>225</v>
      </c>
    </row>
    <row r="40" customFormat="false" ht="18" hidden="false" customHeight="true" outlineLevel="0" collapsed="false">
      <c r="A40" s="52" t="n">
        <v>35</v>
      </c>
      <c r="B40" s="53" t="s">
        <v>286</v>
      </c>
      <c r="C40" s="54" t="s">
        <v>287</v>
      </c>
      <c r="D40" s="53" t="s">
        <v>288</v>
      </c>
      <c r="E40" s="55" t="n">
        <v>1885</v>
      </c>
      <c r="F40" s="53" t="s">
        <v>224</v>
      </c>
      <c r="G40" s="56" t="n">
        <v>803.8</v>
      </c>
      <c r="H40" s="56" t="n">
        <v>165</v>
      </c>
      <c r="I40" s="56" t="n">
        <f aca="false">G40+H40</f>
        <v>968.8</v>
      </c>
      <c r="J40" s="57" t="n">
        <f aca="false">E40*I40</f>
        <v>1826188</v>
      </c>
      <c r="K40" s="56" t="n">
        <v>7</v>
      </c>
      <c r="L40" s="57" t="n">
        <f aca="false">E40*K40*30</f>
        <v>395850</v>
      </c>
      <c r="M40" s="57" t="n">
        <f aca="false">L40*0.6</f>
        <v>237510</v>
      </c>
      <c r="N40" s="57" t="n">
        <f aca="false">M40*5</f>
        <v>1187550</v>
      </c>
      <c r="O40" s="57" t="n">
        <f aca="false">M40*10</f>
        <v>2375100</v>
      </c>
      <c r="P40" s="57" t="n">
        <f aca="false">M40*18</f>
        <v>4275180</v>
      </c>
      <c r="Q40" s="56" t="n">
        <v>2</v>
      </c>
      <c r="R40" s="57" t="n">
        <f aca="false">E40*Q40*30</f>
        <v>113100</v>
      </c>
      <c r="S40" s="53" t="s">
        <v>225</v>
      </c>
    </row>
    <row r="41" customFormat="false" ht="19.5" hidden="false" customHeight="true" outlineLevel="0" collapsed="false">
      <c r="A41" s="58" t="s">
        <v>289</v>
      </c>
      <c r="B41" s="58"/>
      <c r="C41" s="58"/>
      <c r="D41" s="58"/>
      <c r="E41" s="59" t="n">
        <f aca="false">SUM(E6:E40)</f>
        <v>72800.99</v>
      </c>
      <c r="F41" s="59" t="n">
        <f aca="false">SUM(F6:F40)</f>
        <v>0</v>
      </c>
      <c r="G41" s="60" t="n">
        <f aca="false">SUM(G6:G40)</f>
        <v>28133</v>
      </c>
      <c r="H41" s="60" t="n">
        <f aca="false">SUM(H6:H40)</f>
        <v>5775</v>
      </c>
      <c r="I41" s="60" t="n">
        <f aca="false">SUM(I6:I40)</f>
        <v>33908</v>
      </c>
      <c r="J41" s="61" t="n">
        <f aca="false">SUM(J6:J40)</f>
        <v>70529599.112</v>
      </c>
      <c r="K41" s="60" t="n">
        <f aca="false">SUM(K6:K40)</f>
        <v>245</v>
      </c>
      <c r="L41" s="61" t="n">
        <f aca="false">SUM(L6:L40)</f>
        <v>15288207.9</v>
      </c>
      <c r="M41" s="61" t="n">
        <f aca="false">SUM(M6:M40)</f>
        <v>9172924.74</v>
      </c>
      <c r="N41" s="61" t="n">
        <f aca="false">SUM(N6:N40)</f>
        <v>45864623.7</v>
      </c>
      <c r="O41" s="61" t="n">
        <f aca="false">SUM(O6:O40)</f>
        <v>91729247.4</v>
      </c>
      <c r="P41" s="61" t="n">
        <f aca="false">SUM(P6:P40)</f>
        <v>165112645.32</v>
      </c>
      <c r="Q41" s="60" t="n">
        <f aca="false">SUM(Q6:Q40)</f>
        <v>70</v>
      </c>
      <c r="R41" s="61" t="n">
        <f aca="false">SUM(R6:R40)</f>
        <v>4368059.4</v>
      </c>
      <c r="S41" s="62"/>
    </row>
  </sheetData>
  <mergeCells count="4">
    <mergeCell ref="A1:S1"/>
    <mergeCell ref="A2:S2"/>
    <mergeCell ref="A3:S3"/>
    <mergeCell ref="A41: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97D"/>
    <pageSetUpPr fitToPage="false"/>
  </sheetPr>
  <dimension ref="A1:S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G26" activeCellId="0" sqref="G26"/>
    </sheetView>
  </sheetViews>
  <sheetFormatPr defaultColWidth="8.71484375" defaultRowHeight="15" zeroHeight="false" outlineLevelRow="0" outlineLevelCol="0"/>
  <cols>
    <col collapsed="false" customWidth="true" hidden="false" outlineLevel="0" max="1" min="1" style="0" width="3.42"/>
    <col collapsed="false" customWidth="true" hidden="false" outlineLevel="0" max="2" min="2" style="0" width="6.43"/>
    <col collapsed="false" customWidth="true" hidden="false" outlineLevel="0" max="3" min="3" style="0" width="25.71"/>
    <col collapsed="false" customWidth="true" hidden="false" outlineLevel="0" max="4" min="4" style="0" width="41.15"/>
    <col collapsed="false" customWidth="true" hidden="false" outlineLevel="0" max="5" min="5" style="0" width="7.29"/>
    <col collapsed="false" customWidth="true" hidden="false" outlineLevel="0" max="6" min="6" style="0" width="6.29"/>
    <col collapsed="false" customWidth="true" hidden="false" outlineLevel="0" max="7" min="7" style="0" width="10.57"/>
    <col collapsed="false" customWidth="true" hidden="false" outlineLevel="0" max="8" min="8" style="0" width="10.85"/>
    <col collapsed="false" customWidth="true" hidden="false" outlineLevel="0" max="9" min="9" style="0" width="9"/>
    <col collapsed="false" customWidth="true" hidden="false" outlineLevel="0" max="10" min="10" style="0" width="10.85"/>
    <col collapsed="false" customWidth="true" hidden="false" outlineLevel="0" max="11" min="11" style="0" width="10.42"/>
    <col collapsed="false" customWidth="true" hidden="false" outlineLevel="0" max="12" min="12" style="0" width="9.86"/>
    <col collapsed="false" customWidth="true" hidden="false" outlineLevel="0" max="13" min="13" style="0" width="13.57"/>
    <col collapsed="false" customWidth="true" hidden="false" outlineLevel="0" max="14" min="14" style="0" width="9.86"/>
    <col collapsed="false" customWidth="true" hidden="false" outlineLevel="0" max="16" min="15" style="0" width="10.85"/>
    <col collapsed="false" customWidth="true" hidden="false" outlineLevel="0" max="17" min="17" style="0" width="10.57"/>
    <col collapsed="false" customWidth="true" hidden="false" outlineLevel="0" max="18" min="18" style="0" width="11.85"/>
    <col collapsed="false" customWidth="true" hidden="false" outlineLevel="0" max="19" min="19" style="0" width="100.14"/>
  </cols>
  <sheetData>
    <row r="1" customFormat="false" ht="27.75" hidden="false" customHeight="true" outlineLevel="0" collapsed="false">
      <c r="A1" s="47" t="s">
        <v>290</v>
      </c>
      <c r="B1" s="47"/>
      <c r="C1" s="47"/>
      <c r="D1" s="47"/>
      <c r="E1" s="47"/>
      <c r="F1" s="47"/>
      <c r="G1" s="47"/>
      <c r="H1" s="47"/>
      <c r="I1" s="47"/>
      <c r="J1" s="47"/>
      <c r="K1" s="47"/>
      <c r="L1" s="47"/>
      <c r="M1" s="47"/>
      <c r="N1" s="47"/>
      <c r="O1" s="47"/>
      <c r="P1" s="47"/>
      <c r="Q1" s="47"/>
      <c r="R1" s="47"/>
      <c r="S1" s="47"/>
    </row>
    <row r="2" customFormat="false" ht="15" hidden="false" customHeight="true" outlineLevel="0" collapsed="false">
      <c r="A2" s="48" t="s">
        <v>201</v>
      </c>
      <c r="B2" s="48"/>
      <c r="C2" s="48"/>
      <c r="D2" s="48"/>
      <c r="E2" s="48"/>
      <c r="F2" s="48"/>
      <c r="G2" s="48"/>
      <c r="H2" s="48"/>
      <c r="I2" s="48"/>
      <c r="J2" s="48"/>
      <c r="K2" s="48"/>
      <c r="L2" s="48"/>
      <c r="M2" s="48"/>
      <c r="N2" s="48"/>
      <c r="O2" s="48"/>
      <c r="P2" s="48"/>
      <c r="Q2" s="48"/>
      <c r="R2" s="48"/>
      <c r="S2" s="48"/>
    </row>
    <row r="3" customFormat="false" ht="15" hidden="false" customHeight="true" outlineLevel="0" collapsed="false">
      <c r="A3" s="49" t="s">
        <v>291</v>
      </c>
      <c r="B3" s="49"/>
      <c r="C3" s="49"/>
      <c r="D3" s="49"/>
      <c r="E3" s="49"/>
      <c r="F3" s="49"/>
      <c r="G3" s="49"/>
      <c r="H3" s="49"/>
      <c r="I3" s="49"/>
      <c r="J3" s="49"/>
      <c r="K3" s="49"/>
      <c r="L3" s="49"/>
      <c r="M3" s="49"/>
      <c r="N3" s="49"/>
      <c r="O3" s="49"/>
      <c r="P3" s="49"/>
      <c r="Q3" s="49"/>
      <c r="R3" s="49"/>
      <c r="S3" s="49"/>
    </row>
    <row r="4" customFormat="false" ht="6" hidden="false" customHeight="true" outlineLevel="0" collapsed="false"/>
    <row r="5" s="51" customFormat="true" ht="51.75" hidden="false" customHeight="true" outlineLevel="0" collapsed="false">
      <c r="A5" s="50" t="s">
        <v>203</v>
      </c>
      <c r="B5" s="50" t="s">
        <v>204</v>
      </c>
      <c r="C5" s="50" t="s">
        <v>205</v>
      </c>
      <c r="D5" s="50" t="s">
        <v>206</v>
      </c>
      <c r="E5" s="50" t="s">
        <v>207</v>
      </c>
      <c r="F5" s="50" t="s">
        <v>208</v>
      </c>
      <c r="G5" s="50" t="s">
        <v>209</v>
      </c>
      <c r="H5" s="50" t="s">
        <v>210</v>
      </c>
      <c r="I5" s="50" t="s">
        <v>211</v>
      </c>
      <c r="J5" s="50" t="s">
        <v>212</v>
      </c>
      <c r="K5" s="50" t="s">
        <v>213</v>
      </c>
      <c r="L5" s="50" t="s">
        <v>22</v>
      </c>
      <c r="M5" s="50" t="s">
        <v>214</v>
      </c>
      <c r="N5" s="50" t="s">
        <v>215</v>
      </c>
      <c r="O5" s="50" t="s">
        <v>216</v>
      </c>
      <c r="P5" s="50" t="s">
        <v>217</v>
      </c>
      <c r="Q5" s="50" t="s">
        <v>218</v>
      </c>
      <c r="R5" s="50" t="s">
        <v>219</v>
      </c>
      <c r="S5" s="50" t="s">
        <v>220</v>
      </c>
    </row>
    <row r="6" customFormat="false" ht="18" hidden="false" customHeight="true" outlineLevel="0" collapsed="false">
      <c r="A6" s="63" t="n">
        <v>1</v>
      </c>
      <c r="B6" s="64" t="s">
        <v>221</v>
      </c>
      <c r="C6" s="65" t="s">
        <v>292</v>
      </c>
      <c r="D6" s="64" t="s">
        <v>293</v>
      </c>
      <c r="E6" s="66" t="n">
        <v>4556</v>
      </c>
      <c r="F6" s="64" t="s">
        <v>294</v>
      </c>
      <c r="G6" s="67" t="n">
        <v>564.7</v>
      </c>
      <c r="H6" s="67" t="n">
        <v>484</v>
      </c>
      <c r="I6" s="67" t="n">
        <f aca="false">G6+H6</f>
        <v>1048.7</v>
      </c>
      <c r="J6" s="68" t="n">
        <f aca="false">E6*I6</f>
        <v>4777877.2</v>
      </c>
      <c r="K6" s="67" t="n">
        <v>22</v>
      </c>
      <c r="L6" s="68" t="n">
        <f aca="false">E6*K6*30</f>
        <v>3006960</v>
      </c>
      <c r="M6" s="68" t="n">
        <f aca="false">L6*0.6</f>
        <v>1804176</v>
      </c>
      <c r="N6" s="68" t="n">
        <f aca="false">M6*5</f>
        <v>9020880</v>
      </c>
      <c r="O6" s="68" t="n">
        <f aca="false">M6*10</f>
        <v>18041760</v>
      </c>
      <c r="P6" s="68" t="n">
        <f aca="false">M6*18</f>
        <v>32475168</v>
      </c>
      <c r="Q6" s="67" t="n">
        <v>2.5</v>
      </c>
      <c r="R6" s="68" t="n">
        <f aca="false">E6*Q6*30</f>
        <v>341700</v>
      </c>
      <c r="S6" s="64" t="s">
        <v>295</v>
      </c>
    </row>
    <row r="7" customFormat="false" ht="18" hidden="false" customHeight="true" outlineLevel="0" collapsed="false">
      <c r="A7" s="63" t="n">
        <v>2</v>
      </c>
      <c r="B7" s="64" t="s">
        <v>14</v>
      </c>
      <c r="C7" s="65" t="s">
        <v>296</v>
      </c>
      <c r="D7" s="64" t="s">
        <v>297</v>
      </c>
      <c r="E7" s="66" t="n">
        <v>399</v>
      </c>
      <c r="F7" s="64" t="s">
        <v>294</v>
      </c>
      <c r="G7" s="67" t="n">
        <v>564.7</v>
      </c>
      <c r="H7" s="67" t="n">
        <v>484</v>
      </c>
      <c r="I7" s="67" t="n">
        <f aca="false">G7+H7</f>
        <v>1048.7</v>
      </c>
      <c r="J7" s="68" t="n">
        <f aca="false">E7*I7</f>
        <v>418431.3</v>
      </c>
      <c r="K7" s="67" t="n">
        <v>22</v>
      </c>
      <c r="L7" s="68" t="n">
        <f aca="false">E7*K7*30</f>
        <v>263340</v>
      </c>
      <c r="M7" s="68" t="n">
        <f aca="false">L7*0.6</f>
        <v>158004</v>
      </c>
      <c r="N7" s="68" t="n">
        <f aca="false">M7*5</f>
        <v>790020</v>
      </c>
      <c r="O7" s="68" t="n">
        <f aca="false">M7*10</f>
        <v>1580040</v>
      </c>
      <c r="P7" s="68" t="n">
        <f aca="false">M7*18</f>
        <v>2844072</v>
      </c>
      <c r="Q7" s="67" t="n">
        <v>2.5</v>
      </c>
      <c r="R7" s="68" t="n">
        <f aca="false">E7*Q7*30</f>
        <v>29925</v>
      </c>
      <c r="S7" s="64" t="s">
        <v>295</v>
      </c>
    </row>
    <row r="8" customFormat="false" ht="18" hidden="false" customHeight="true" outlineLevel="0" collapsed="false">
      <c r="A8" s="63" t="n">
        <v>3</v>
      </c>
      <c r="B8" s="64" t="s">
        <v>14</v>
      </c>
      <c r="C8" s="65" t="s">
        <v>298</v>
      </c>
      <c r="D8" s="64" t="s">
        <v>299</v>
      </c>
      <c r="E8" s="66" t="n">
        <v>763</v>
      </c>
      <c r="F8" s="64" t="s">
        <v>294</v>
      </c>
      <c r="G8" s="67" t="n">
        <v>564.7</v>
      </c>
      <c r="H8" s="67" t="n">
        <v>484</v>
      </c>
      <c r="I8" s="67" t="n">
        <f aca="false">G8+H8</f>
        <v>1048.7</v>
      </c>
      <c r="J8" s="68" t="n">
        <f aca="false">E8*I8</f>
        <v>800158.1</v>
      </c>
      <c r="K8" s="67" t="n">
        <v>22</v>
      </c>
      <c r="L8" s="68" t="n">
        <f aca="false">E8*K8*30</f>
        <v>503580</v>
      </c>
      <c r="M8" s="68" t="n">
        <f aca="false">L8*0.6</f>
        <v>302148</v>
      </c>
      <c r="N8" s="68" t="n">
        <f aca="false">M8*5</f>
        <v>1510740</v>
      </c>
      <c r="O8" s="68" t="n">
        <f aca="false">M8*10</f>
        <v>3021480</v>
      </c>
      <c r="P8" s="68" t="n">
        <f aca="false">M8*18</f>
        <v>5438664</v>
      </c>
      <c r="Q8" s="67" t="n">
        <v>2.5</v>
      </c>
      <c r="R8" s="68" t="n">
        <f aca="false">E8*Q8*30</f>
        <v>57225</v>
      </c>
      <c r="S8" s="64" t="s">
        <v>295</v>
      </c>
    </row>
    <row r="9" customFormat="false" ht="18" hidden="false" customHeight="true" outlineLevel="0" collapsed="false">
      <c r="A9" s="63" t="n">
        <v>4</v>
      </c>
      <c r="B9" s="64" t="s">
        <v>14</v>
      </c>
      <c r="C9" s="65" t="s">
        <v>300</v>
      </c>
      <c r="D9" s="64" t="s">
        <v>301</v>
      </c>
      <c r="E9" s="66" t="n">
        <v>4051</v>
      </c>
      <c r="F9" s="64" t="s">
        <v>294</v>
      </c>
      <c r="G9" s="67" t="n">
        <v>564.7</v>
      </c>
      <c r="H9" s="67" t="n">
        <v>484</v>
      </c>
      <c r="I9" s="67" t="n">
        <f aca="false">G9+H9</f>
        <v>1048.7</v>
      </c>
      <c r="J9" s="68" t="n">
        <f aca="false">E9*I9</f>
        <v>4248283.7</v>
      </c>
      <c r="K9" s="67" t="n">
        <v>22</v>
      </c>
      <c r="L9" s="68" t="n">
        <f aca="false">E9*K9*30</f>
        <v>2673660</v>
      </c>
      <c r="M9" s="68" t="n">
        <f aca="false">L9*0.6</f>
        <v>1604196</v>
      </c>
      <c r="N9" s="68" t="n">
        <f aca="false">M9*5</f>
        <v>8020980</v>
      </c>
      <c r="O9" s="68" t="n">
        <f aca="false">M9*10</f>
        <v>16041960</v>
      </c>
      <c r="P9" s="68" t="n">
        <f aca="false">M9*18</f>
        <v>28875528</v>
      </c>
      <c r="Q9" s="67" t="n">
        <v>2.5</v>
      </c>
      <c r="R9" s="68" t="n">
        <f aca="false">E9*Q9*30</f>
        <v>303825</v>
      </c>
      <c r="S9" s="64" t="s">
        <v>295</v>
      </c>
    </row>
    <row r="10" customFormat="false" ht="18" hidden="false" customHeight="true" outlineLevel="0" collapsed="false">
      <c r="A10" s="63" t="n">
        <v>5</v>
      </c>
      <c r="B10" s="64" t="s">
        <v>14</v>
      </c>
      <c r="C10" s="65" t="s">
        <v>302</v>
      </c>
      <c r="D10" s="64" t="s">
        <v>303</v>
      </c>
      <c r="E10" s="66" t="n">
        <v>424</v>
      </c>
      <c r="F10" s="64" t="s">
        <v>294</v>
      </c>
      <c r="G10" s="67" t="n">
        <v>564.7</v>
      </c>
      <c r="H10" s="67" t="n">
        <v>484</v>
      </c>
      <c r="I10" s="67" t="n">
        <f aca="false">G10+H10</f>
        <v>1048.7</v>
      </c>
      <c r="J10" s="68" t="n">
        <f aca="false">E10*I10</f>
        <v>444648.8</v>
      </c>
      <c r="K10" s="67" t="n">
        <v>22</v>
      </c>
      <c r="L10" s="68" t="n">
        <f aca="false">E10*K10*30</f>
        <v>279840</v>
      </c>
      <c r="M10" s="68" t="n">
        <f aca="false">L10*0.6</f>
        <v>167904</v>
      </c>
      <c r="N10" s="68" t="n">
        <f aca="false">M10*5</f>
        <v>839520</v>
      </c>
      <c r="O10" s="68" t="n">
        <f aca="false">M10*10</f>
        <v>1679040</v>
      </c>
      <c r="P10" s="68" t="n">
        <f aca="false">M10*18</f>
        <v>3022272</v>
      </c>
      <c r="Q10" s="67" t="n">
        <v>2.5</v>
      </c>
      <c r="R10" s="68" t="n">
        <f aca="false">E10*Q10*30</f>
        <v>31800</v>
      </c>
      <c r="S10" s="64" t="s">
        <v>295</v>
      </c>
    </row>
    <row r="11" customFormat="false" ht="18" hidden="false" customHeight="true" outlineLevel="0" collapsed="false">
      <c r="A11" s="63" t="n">
        <v>6</v>
      </c>
      <c r="B11" s="64" t="s">
        <v>14</v>
      </c>
      <c r="C11" s="65" t="s">
        <v>304</v>
      </c>
      <c r="D11" s="64" t="s">
        <v>305</v>
      </c>
      <c r="E11" s="66" t="n">
        <v>911</v>
      </c>
      <c r="F11" s="64" t="s">
        <v>294</v>
      </c>
      <c r="G11" s="67" t="n">
        <v>564.7</v>
      </c>
      <c r="H11" s="67" t="n">
        <v>484</v>
      </c>
      <c r="I11" s="67" t="n">
        <f aca="false">G11+H11</f>
        <v>1048.7</v>
      </c>
      <c r="J11" s="68" t="n">
        <f aca="false">E11*I11</f>
        <v>955365.7</v>
      </c>
      <c r="K11" s="67" t="n">
        <v>22</v>
      </c>
      <c r="L11" s="68" t="n">
        <f aca="false">E11*K11*30</f>
        <v>601260</v>
      </c>
      <c r="M11" s="68" t="n">
        <f aca="false">L11*0.6</f>
        <v>360756</v>
      </c>
      <c r="N11" s="68" t="n">
        <f aca="false">M11*5</f>
        <v>1803780</v>
      </c>
      <c r="O11" s="68" t="n">
        <f aca="false">M11*10</f>
        <v>3607560</v>
      </c>
      <c r="P11" s="68" t="n">
        <f aca="false">M11*18</f>
        <v>6493608</v>
      </c>
      <c r="Q11" s="67" t="n">
        <v>2.5</v>
      </c>
      <c r="R11" s="68" t="n">
        <f aca="false">E11*Q11*30</f>
        <v>68325</v>
      </c>
      <c r="S11" s="64" t="s">
        <v>295</v>
      </c>
    </row>
    <row r="12" customFormat="false" ht="18" hidden="false" customHeight="true" outlineLevel="0" collapsed="false">
      <c r="A12" s="63" t="n">
        <v>7</v>
      </c>
      <c r="B12" s="64" t="s">
        <v>14</v>
      </c>
      <c r="C12" s="65" t="s">
        <v>306</v>
      </c>
      <c r="D12" s="64" t="s">
        <v>307</v>
      </c>
      <c r="E12" s="66" t="n">
        <v>462</v>
      </c>
      <c r="F12" s="64" t="s">
        <v>294</v>
      </c>
      <c r="G12" s="67" t="n">
        <v>564.7</v>
      </c>
      <c r="H12" s="67" t="n">
        <v>484</v>
      </c>
      <c r="I12" s="67" t="n">
        <f aca="false">G12+H12</f>
        <v>1048.7</v>
      </c>
      <c r="J12" s="68" t="n">
        <f aca="false">E12*I12</f>
        <v>484499.4</v>
      </c>
      <c r="K12" s="67" t="n">
        <v>22</v>
      </c>
      <c r="L12" s="68" t="n">
        <f aca="false">E12*K12*30</f>
        <v>304920</v>
      </c>
      <c r="M12" s="68" t="n">
        <f aca="false">L12*0.6</f>
        <v>182952</v>
      </c>
      <c r="N12" s="68" t="n">
        <f aca="false">M12*5</f>
        <v>914760</v>
      </c>
      <c r="O12" s="68" t="n">
        <f aca="false">M12*10</f>
        <v>1829520</v>
      </c>
      <c r="P12" s="68" t="n">
        <f aca="false">M12*18</f>
        <v>3293136</v>
      </c>
      <c r="Q12" s="67" t="n">
        <v>2.5</v>
      </c>
      <c r="R12" s="68" t="n">
        <f aca="false">E12*Q12*30</f>
        <v>34650</v>
      </c>
      <c r="S12" s="64" t="s">
        <v>295</v>
      </c>
    </row>
    <row r="13" customFormat="false" ht="18" hidden="false" customHeight="true" outlineLevel="0" collapsed="false">
      <c r="A13" s="63" t="n">
        <v>8</v>
      </c>
      <c r="B13" s="64" t="s">
        <v>14</v>
      </c>
      <c r="C13" s="65" t="s">
        <v>308</v>
      </c>
      <c r="D13" s="64" t="s">
        <v>309</v>
      </c>
      <c r="E13" s="66" t="n">
        <v>2662</v>
      </c>
      <c r="F13" s="64" t="s">
        <v>294</v>
      </c>
      <c r="G13" s="67" t="n">
        <v>564.7</v>
      </c>
      <c r="H13" s="67" t="n">
        <v>484</v>
      </c>
      <c r="I13" s="67" t="n">
        <f aca="false">G13+H13</f>
        <v>1048.7</v>
      </c>
      <c r="J13" s="68" t="n">
        <f aca="false">E13*I13</f>
        <v>2791639.4</v>
      </c>
      <c r="K13" s="67" t="n">
        <v>22</v>
      </c>
      <c r="L13" s="68" t="n">
        <f aca="false">E13*K13*30</f>
        <v>1756920</v>
      </c>
      <c r="M13" s="68" t="n">
        <f aca="false">L13*0.6</f>
        <v>1054152</v>
      </c>
      <c r="N13" s="68" t="n">
        <f aca="false">M13*5</f>
        <v>5270760</v>
      </c>
      <c r="O13" s="68" t="n">
        <f aca="false">M13*10</f>
        <v>10541520</v>
      </c>
      <c r="P13" s="68" t="n">
        <f aca="false">M13*18</f>
        <v>18974736</v>
      </c>
      <c r="Q13" s="67" t="n">
        <v>2.5</v>
      </c>
      <c r="R13" s="68" t="n">
        <f aca="false">E13*Q13*30</f>
        <v>199650</v>
      </c>
      <c r="S13" s="64" t="s">
        <v>295</v>
      </c>
    </row>
    <row r="14" customFormat="false" ht="18" hidden="false" customHeight="true" outlineLevel="0" collapsed="false">
      <c r="A14" s="63" t="n">
        <v>9</v>
      </c>
      <c r="B14" s="64" t="s">
        <v>221</v>
      </c>
      <c r="C14" s="65" t="s">
        <v>310</v>
      </c>
      <c r="D14" s="64" t="s">
        <v>311</v>
      </c>
      <c r="E14" s="66" t="n">
        <v>966</v>
      </c>
      <c r="F14" s="64" t="s">
        <v>294</v>
      </c>
      <c r="G14" s="67" t="n">
        <v>564.7</v>
      </c>
      <c r="H14" s="67" t="n">
        <v>484</v>
      </c>
      <c r="I14" s="67" t="n">
        <f aca="false">G14+H14</f>
        <v>1048.7</v>
      </c>
      <c r="J14" s="68" t="n">
        <f aca="false">E14*I14</f>
        <v>1013044.2</v>
      </c>
      <c r="K14" s="67" t="n">
        <v>22</v>
      </c>
      <c r="L14" s="68" t="n">
        <f aca="false">E14*K14*30</f>
        <v>637560</v>
      </c>
      <c r="M14" s="68" t="n">
        <f aca="false">L14*0.6</f>
        <v>382536</v>
      </c>
      <c r="N14" s="68" t="n">
        <f aca="false">M14*5</f>
        <v>1912680</v>
      </c>
      <c r="O14" s="68" t="n">
        <f aca="false">M14*10</f>
        <v>3825360</v>
      </c>
      <c r="P14" s="68" t="n">
        <f aca="false">M14*18</f>
        <v>6885648</v>
      </c>
      <c r="Q14" s="67" t="n">
        <v>2.5</v>
      </c>
      <c r="R14" s="68" t="n">
        <f aca="false">E14*Q14*30</f>
        <v>72450</v>
      </c>
      <c r="S14" s="64" t="s">
        <v>295</v>
      </c>
    </row>
    <row r="15" customFormat="false" ht="18" hidden="false" customHeight="true" outlineLevel="0" collapsed="false">
      <c r="A15" s="63" t="n">
        <v>10</v>
      </c>
      <c r="B15" s="64" t="s">
        <v>14</v>
      </c>
      <c r="C15" s="65" t="s">
        <v>312</v>
      </c>
      <c r="D15" s="64" t="s">
        <v>313</v>
      </c>
      <c r="E15" s="66" t="n">
        <v>1088</v>
      </c>
      <c r="F15" s="64" t="s">
        <v>294</v>
      </c>
      <c r="G15" s="67" t="n">
        <v>564.7</v>
      </c>
      <c r="H15" s="67" t="n">
        <v>484</v>
      </c>
      <c r="I15" s="67" t="n">
        <f aca="false">G15+H15</f>
        <v>1048.7</v>
      </c>
      <c r="J15" s="68" t="n">
        <f aca="false">E15*I15</f>
        <v>1140985.6</v>
      </c>
      <c r="K15" s="67" t="n">
        <v>22</v>
      </c>
      <c r="L15" s="68" t="n">
        <f aca="false">E15*K15*30</f>
        <v>718080</v>
      </c>
      <c r="M15" s="68" t="n">
        <f aca="false">L15*0.6</f>
        <v>430848</v>
      </c>
      <c r="N15" s="68" t="n">
        <f aca="false">M15*5</f>
        <v>2154240</v>
      </c>
      <c r="O15" s="68" t="n">
        <f aca="false">M15*10</f>
        <v>4308480</v>
      </c>
      <c r="P15" s="68" t="n">
        <f aca="false">M15*18</f>
        <v>7755264</v>
      </c>
      <c r="Q15" s="67" t="n">
        <v>2.5</v>
      </c>
      <c r="R15" s="68" t="n">
        <f aca="false">E15*Q15*30</f>
        <v>81600</v>
      </c>
      <c r="S15" s="64" t="s">
        <v>295</v>
      </c>
    </row>
    <row r="16" customFormat="false" ht="18" hidden="false" customHeight="true" outlineLevel="0" collapsed="false">
      <c r="A16" s="63" t="n">
        <v>11</v>
      </c>
      <c r="B16" s="64" t="s">
        <v>14</v>
      </c>
      <c r="C16" s="65" t="s">
        <v>314</v>
      </c>
      <c r="D16" s="64" t="s">
        <v>315</v>
      </c>
      <c r="E16" s="66" t="n">
        <v>1266</v>
      </c>
      <c r="F16" s="64" t="s">
        <v>294</v>
      </c>
      <c r="G16" s="67" t="n">
        <v>564.7</v>
      </c>
      <c r="H16" s="67" t="n">
        <v>484</v>
      </c>
      <c r="I16" s="67" t="n">
        <f aca="false">G16+H16</f>
        <v>1048.7</v>
      </c>
      <c r="J16" s="68" t="n">
        <f aca="false">E16*I16</f>
        <v>1327654.2</v>
      </c>
      <c r="K16" s="67" t="n">
        <v>22</v>
      </c>
      <c r="L16" s="68" t="n">
        <f aca="false">E16*K16*30</f>
        <v>835560</v>
      </c>
      <c r="M16" s="68" t="n">
        <f aca="false">L16*0.6</f>
        <v>501336</v>
      </c>
      <c r="N16" s="68" t="n">
        <f aca="false">M16*5</f>
        <v>2506680</v>
      </c>
      <c r="O16" s="68" t="n">
        <f aca="false">M16*10</f>
        <v>5013360</v>
      </c>
      <c r="P16" s="68" t="n">
        <f aca="false">M16*18</f>
        <v>9024048</v>
      </c>
      <c r="Q16" s="67" t="n">
        <v>2.5</v>
      </c>
      <c r="R16" s="68" t="n">
        <f aca="false">E16*Q16*30</f>
        <v>94950</v>
      </c>
      <c r="S16" s="64" t="s">
        <v>295</v>
      </c>
    </row>
    <row r="17" customFormat="false" ht="18" hidden="false" customHeight="true" outlineLevel="0" collapsed="false">
      <c r="A17" s="63" t="n">
        <v>12</v>
      </c>
      <c r="B17" s="64" t="s">
        <v>14</v>
      </c>
      <c r="C17" s="65" t="s">
        <v>316</v>
      </c>
      <c r="D17" s="64" t="s">
        <v>317</v>
      </c>
      <c r="E17" s="66" t="n">
        <v>2926</v>
      </c>
      <c r="F17" s="64" t="s">
        <v>294</v>
      </c>
      <c r="G17" s="67" t="n">
        <v>564.7</v>
      </c>
      <c r="H17" s="67" t="n">
        <v>484</v>
      </c>
      <c r="I17" s="67" t="n">
        <f aca="false">G17+H17</f>
        <v>1048.7</v>
      </c>
      <c r="J17" s="68" t="n">
        <f aca="false">E17*I17</f>
        <v>3068496.2</v>
      </c>
      <c r="K17" s="67" t="n">
        <v>22</v>
      </c>
      <c r="L17" s="68" t="n">
        <f aca="false">E17*K17*30</f>
        <v>1931160</v>
      </c>
      <c r="M17" s="68" t="n">
        <f aca="false">L17*0.6</f>
        <v>1158696</v>
      </c>
      <c r="N17" s="68" t="n">
        <f aca="false">M17*5</f>
        <v>5793480</v>
      </c>
      <c r="O17" s="68" t="n">
        <f aca="false">M17*10</f>
        <v>11586960</v>
      </c>
      <c r="P17" s="68" t="n">
        <f aca="false">M17*18</f>
        <v>20856528</v>
      </c>
      <c r="Q17" s="67" t="n">
        <v>2.5</v>
      </c>
      <c r="R17" s="68" t="n">
        <f aca="false">E17*Q17*30</f>
        <v>219450</v>
      </c>
      <c r="S17" s="64" t="s">
        <v>295</v>
      </c>
    </row>
    <row r="18" customFormat="false" ht="18" hidden="false" customHeight="true" outlineLevel="0" collapsed="false">
      <c r="A18" s="63" t="n">
        <v>13</v>
      </c>
      <c r="B18" s="64" t="s">
        <v>14</v>
      </c>
      <c r="C18" s="65" t="s">
        <v>318</v>
      </c>
      <c r="D18" s="64" t="s">
        <v>319</v>
      </c>
      <c r="E18" s="66" t="n">
        <v>2378</v>
      </c>
      <c r="F18" s="64" t="s">
        <v>294</v>
      </c>
      <c r="G18" s="67" t="n">
        <v>564.7</v>
      </c>
      <c r="H18" s="67" t="n">
        <v>484</v>
      </c>
      <c r="I18" s="67" t="n">
        <f aca="false">G18+H18</f>
        <v>1048.7</v>
      </c>
      <c r="J18" s="68" t="n">
        <f aca="false">E18*I18</f>
        <v>2493808.6</v>
      </c>
      <c r="K18" s="67" t="n">
        <v>22</v>
      </c>
      <c r="L18" s="68" t="n">
        <f aca="false">E18*K18*30</f>
        <v>1569480</v>
      </c>
      <c r="M18" s="68" t="n">
        <f aca="false">L18*0.6</f>
        <v>941688</v>
      </c>
      <c r="N18" s="68" t="n">
        <f aca="false">M18*5</f>
        <v>4708440</v>
      </c>
      <c r="O18" s="68" t="n">
        <f aca="false">M18*10</f>
        <v>9416880</v>
      </c>
      <c r="P18" s="68" t="n">
        <f aca="false">M18*18</f>
        <v>16950384</v>
      </c>
      <c r="Q18" s="67" t="n">
        <v>2.5</v>
      </c>
      <c r="R18" s="68" t="n">
        <f aca="false">E18*Q18*30</f>
        <v>178350</v>
      </c>
      <c r="S18" s="64" t="s">
        <v>295</v>
      </c>
    </row>
    <row r="19" customFormat="false" ht="18" hidden="false" customHeight="true" outlineLevel="0" collapsed="false">
      <c r="A19" s="63" t="n">
        <v>14</v>
      </c>
      <c r="B19" s="64" t="s">
        <v>14</v>
      </c>
      <c r="C19" s="65" t="s">
        <v>320</v>
      </c>
      <c r="D19" s="64" t="s">
        <v>321</v>
      </c>
      <c r="E19" s="66" t="n">
        <v>2974</v>
      </c>
      <c r="F19" s="64" t="s">
        <v>294</v>
      </c>
      <c r="G19" s="67" t="n">
        <v>564.7</v>
      </c>
      <c r="H19" s="67" t="n">
        <v>484</v>
      </c>
      <c r="I19" s="67" t="n">
        <f aca="false">G19+H19</f>
        <v>1048.7</v>
      </c>
      <c r="J19" s="68" t="n">
        <f aca="false">E19*I19</f>
        <v>3118833.8</v>
      </c>
      <c r="K19" s="67" t="n">
        <v>22</v>
      </c>
      <c r="L19" s="68" t="n">
        <f aca="false">E19*K19*30</f>
        <v>1962840</v>
      </c>
      <c r="M19" s="68" t="n">
        <f aca="false">L19*0.6</f>
        <v>1177704</v>
      </c>
      <c r="N19" s="68" t="n">
        <f aca="false">M19*5</f>
        <v>5888520</v>
      </c>
      <c r="O19" s="68" t="n">
        <f aca="false">M19*10</f>
        <v>11777040</v>
      </c>
      <c r="P19" s="68" t="n">
        <f aca="false">M19*18</f>
        <v>21198672</v>
      </c>
      <c r="Q19" s="67" t="n">
        <v>2.5</v>
      </c>
      <c r="R19" s="68" t="n">
        <f aca="false">E19*Q19*30</f>
        <v>223050</v>
      </c>
      <c r="S19" s="64" t="s">
        <v>295</v>
      </c>
    </row>
    <row r="20" customFormat="false" ht="18" hidden="false" customHeight="true" outlineLevel="0" collapsed="false">
      <c r="A20" s="63" t="n">
        <v>15</v>
      </c>
      <c r="B20" s="64" t="s">
        <v>14</v>
      </c>
      <c r="C20" s="65" t="s">
        <v>322</v>
      </c>
      <c r="D20" s="64" t="s">
        <v>323</v>
      </c>
      <c r="E20" s="66" t="n">
        <v>3413</v>
      </c>
      <c r="F20" s="64" t="s">
        <v>294</v>
      </c>
      <c r="G20" s="67" t="n">
        <v>564.7</v>
      </c>
      <c r="H20" s="67" t="n">
        <v>484</v>
      </c>
      <c r="I20" s="67" t="n">
        <f aca="false">G20+H20</f>
        <v>1048.7</v>
      </c>
      <c r="J20" s="68" t="n">
        <f aca="false">E20*I20</f>
        <v>3579213.1</v>
      </c>
      <c r="K20" s="67" t="n">
        <v>22</v>
      </c>
      <c r="L20" s="68" t="n">
        <f aca="false">E20*K20*30</f>
        <v>2252580</v>
      </c>
      <c r="M20" s="68" t="n">
        <f aca="false">L20*0.6</f>
        <v>1351548</v>
      </c>
      <c r="N20" s="68" t="n">
        <f aca="false">M20*5</f>
        <v>6757740</v>
      </c>
      <c r="O20" s="68" t="n">
        <f aca="false">M20*10</f>
        <v>13515480</v>
      </c>
      <c r="P20" s="68" t="n">
        <f aca="false">M20*18</f>
        <v>24327864</v>
      </c>
      <c r="Q20" s="67" t="n">
        <v>2.5</v>
      </c>
      <c r="R20" s="68" t="n">
        <f aca="false">E20*Q20*30</f>
        <v>255975</v>
      </c>
      <c r="S20" s="64" t="s">
        <v>295</v>
      </c>
    </row>
    <row r="21" customFormat="false" ht="19.5" hidden="false" customHeight="true" outlineLevel="0" collapsed="false">
      <c r="A21" s="58" t="s">
        <v>324</v>
      </c>
      <c r="B21" s="58"/>
      <c r="C21" s="58"/>
      <c r="D21" s="58"/>
      <c r="E21" s="59" t="n">
        <f aca="false">SUM(E6:E20)</f>
        <v>29239</v>
      </c>
      <c r="F21" s="59" t="n">
        <f aca="false">SUM(F6:F20)</f>
        <v>0</v>
      </c>
      <c r="G21" s="60" t="n">
        <f aca="false">SUM(G6:G20)</f>
        <v>8470.5</v>
      </c>
      <c r="H21" s="60" t="n">
        <f aca="false">SUM(H6:H20)</f>
        <v>7260</v>
      </c>
      <c r="I21" s="60" t="n">
        <f aca="false">SUM(I6:I20)</f>
        <v>15730.5</v>
      </c>
      <c r="J21" s="61" t="n">
        <f aca="false">SUM(J6:J20)</f>
        <v>30662939.3</v>
      </c>
      <c r="K21" s="60" t="n">
        <f aca="false">SUM(K6:K20)</f>
        <v>330</v>
      </c>
      <c r="L21" s="61" t="n">
        <f aca="false">SUM(L6:L20)</f>
        <v>19297740</v>
      </c>
      <c r="M21" s="61" t="n">
        <f aca="false">SUM(M6:M20)</f>
        <v>11578644</v>
      </c>
      <c r="N21" s="61" t="n">
        <f aca="false">SUM(N6:N20)</f>
        <v>57893220</v>
      </c>
      <c r="O21" s="61" t="n">
        <f aca="false">SUM(O6:O20)</f>
        <v>115786440</v>
      </c>
      <c r="P21" s="61" t="n">
        <f aca="false">SUM(P6:P20)</f>
        <v>208415592</v>
      </c>
      <c r="Q21" s="60" t="n">
        <f aca="false">SUM(Q6:Q20)</f>
        <v>37.5</v>
      </c>
      <c r="R21" s="61" t="n">
        <f aca="false">SUM(R6:R20)</f>
        <v>2192925</v>
      </c>
      <c r="S21" s="62"/>
    </row>
  </sheetData>
  <mergeCells count="4">
    <mergeCell ref="A1:S1"/>
    <mergeCell ref="A2:S2"/>
    <mergeCell ref="A3:S3"/>
    <mergeCell ref="A21:D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S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12" activePane="bottomLeft" state="frozen"/>
      <selection pane="topLeft" activeCell="A1" activeCellId="0" sqref="A1"/>
      <selection pane="bottomLeft" activeCell="N31" activeCellId="0" sqref="N31"/>
    </sheetView>
  </sheetViews>
  <sheetFormatPr defaultColWidth="8.71484375" defaultRowHeight="15" zeroHeight="false" outlineLevelRow="0" outlineLevelCol="0"/>
  <cols>
    <col collapsed="false" customWidth="true" hidden="false" outlineLevel="0" max="1" min="1" style="0" width="3.42"/>
    <col collapsed="false" customWidth="true" hidden="false" outlineLevel="0" max="2" min="2" style="0" width="6.43"/>
    <col collapsed="false" customWidth="true" hidden="false" outlineLevel="0" max="3" min="3" style="0" width="28.71"/>
    <col collapsed="false" customWidth="true" hidden="false" outlineLevel="0" max="4" min="4" style="0" width="16.43"/>
    <col collapsed="false" customWidth="true" hidden="false" outlineLevel="0" max="5" min="5" style="0" width="7.29"/>
    <col collapsed="false" customWidth="true" hidden="false" outlineLevel="0" max="6" min="6" style="0" width="6.29"/>
    <col collapsed="false" customWidth="true" hidden="false" outlineLevel="0" max="7" min="7" style="0" width="10.57"/>
    <col collapsed="false" customWidth="true" hidden="false" outlineLevel="0" max="8" min="8" style="0" width="10.85"/>
    <col collapsed="false" customWidth="true" hidden="false" outlineLevel="0" max="9" min="9" style="0" width="9"/>
    <col collapsed="false" customWidth="true" hidden="false" outlineLevel="0" max="10" min="10" style="0" width="10.85"/>
    <col collapsed="false" customWidth="true" hidden="false" outlineLevel="0" max="11" min="11" style="0" width="10.42"/>
    <col collapsed="false" customWidth="true" hidden="false" outlineLevel="0" max="12" min="12" style="0" width="9.86"/>
    <col collapsed="false" customWidth="true" hidden="false" outlineLevel="0" max="13" min="13" style="0" width="13.57"/>
    <col collapsed="false" customWidth="true" hidden="false" outlineLevel="0" max="14" min="14" style="0" width="9.86"/>
    <col collapsed="false" customWidth="true" hidden="false" outlineLevel="0" max="16" min="15" style="0" width="10.85"/>
    <col collapsed="false" customWidth="true" hidden="false" outlineLevel="0" max="18" min="17" style="0" width="11.85"/>
    <col collapsed="false" customWidth="true" hidden="false" outlineLevel="0" max="19" min="19" style="0" width="100.71"/>
  </cols>
  <sheetData>
    <row r="1" customFormat="false" ht="27.75" hidden="false" customHeight="true" outlineLevel="0" collapsed="false">
      <c r="A1" s="47" t="s">
        <v>325</v>
      </c>
      <c r="B1" s="47"/>
      <c r="C1" s="47"/>
      <c r="D1" s="47"/>
      <c r="E1" s="47"/>
      <c r="F1" s="47"/>
      <c r="G1" s="47"/>
      <c r="H1" s="47"/>
      <c r="I1" s="47"/>
      <c r="J1" s="47"/>
      <c r="K1" s="47"/>
      <c r="L1" s="47"/>
      <c r="M1" s="47"/>
      <c r="N1" s="47"/>
      <c r="O1" s="47"/>
      <c r="P1" s="47"/>
      <c r="Q1" s="47"/>
      <c r="R1" s="47"/>
      <c r="S1" s="47"/>
    </row>
    <row r="2" customFormat="false" ht="15" hidden="false" customHeight="true" outlineLevel="0" collapsed="false">
      <c r="A2" s="48" t="s">
        <v>201</v>
      </c>
      <c r="B2" s="48"/>
      <c r="C2" s="48"/>
      <c r="D2" s="48"/>
      <c r="E2" s="48"/>
      <c r="F2" s="48"/>
      <c r="G2" s="48"/>
      <c r="H2" s="48"/>
      <c r="I2" s="48"/>
      <c r="J2" s="48"/>
      <c r="K2" s="48"/>
      <c r="L2" s="48"/>
      <c r="M2" s="48"/>
      <c r="N2" s="48"/>
      <c r="O2" s="48"/>
      <c r="P2" s="48"/>
      <c r="Q2" s="48"/>
      <c r="R2" s="48"/>
      <c r="S2" s="48"/>
    </row>
    <row r="3" customFormat="false" ht="15" hidden="false" customHeight="true" outlineLevel="0" collapsed="false">
      <c r="A3" s="49" t="s">
        <v>326</v>
      </c>
      <c r="B3" s="49"/>
      <c r="C3" s="49"/>
      <c r="D3" s="49"/>
      <c r="E3" s="49"/>
      <c r="F3" s="49"/>
      <c r="G3" s="49"/>
      <c r="H3" s="49"/>
      <c r="I3" s="49"/>
      <c r="J3" s="49"/>
      <c r="K3" s="49"/>
      <c r="L3" s="49"/>
      <c r="M3" s="49"/>
      <c r="N3" s="49"/>
      <c r="O3" s="49"/>
      <c r="P3" s="49"/>
      <c r="Q3" s="49"/>
      <c r="R3" s="49"/>
      <c r="S3" s="49"/>
    </row>
    <row r="4" customFormat="false" ht="6" hidden="false" customHeight="true" outlineLevel="0" collapsed="false"/>
    <row r="5" s="51" customFormat="true" ht="51.75" hidden="false" customHeight="true" outlineLevel="0" collapsed="false">
      <c r="A5" s="50" t="s">
        <v>203</v>
      </c>
      <c r="B5" s="50" t="s">
        <v>204</v>
      </c>
      <c r="C5" s="50" t="s">
        <v>205</v>
      </c>
      <c r="D5" s="50" t="s">
        <v>206</v>
      </c>
      <c r="E5" s="50" t="s">
        <v>207</v>
      </c>
      <c r="F5" s="50" t="s">
        <v>208</v>
      </c>
      <c r="G5" s="50" t="s">
        <v>209</v>
      </c>
      <c r="H5" s="50" t="s">
        <v>210</v>
      </c>
      <c r="I5" s="50" t="s">
        <v>211</v>
      </c>
      <c r="J5" s="50" t="s">
        <v>212</v>
      </c>
      <c r="K5" s="50" t="s">
        <v>213</v>
      </c>
      <c r="L5" s="50" t="s">
        <v>22</v>
      </c>
      <c r="M5" s="50" t="s">
        <v>214</v>
      </c>
      <c r="N5" s="50" t="s">
        <v>215</v>
      </c>
      <c r="O5" s="50" t="s">
        <v>216</v>
      </c>
      <c r="P5" s="50" t="s">
        <v>217</v>
      </c>
      <c r="Q5" s="50" t="s">
        <v>218</v>
      </c>
      <c r="R5" s="50" t="s">
        <v>219</v>
      </c>
      <c r="S5" s="50" t="s">
        <v>220</v>
      </c>
    </row>
    <row r="6" customFormat="false" ht="18" hidden="false" customHeight="true" outlineLevel="0" collapsed="false">
      <c r="A6" s="63" t="n">
        <v>1</v>
      </c>
      <c r="B6" s="64" t="s">
        <v>221</v>
      </c>
      <c r="C6" s="65" t="s">
        <v>327</v>
      </c>
      <c r="D6" s="64" t="s">
        <v>328</v>
      </c>
      <c r="E6" s="66" t="n">
        <v>807</v>
      </c>
      <c r="F6" s="64" t="s">
        <v>294</v>
      </c>
      <c r="G6" s="67" t="n">
        <v>564.7</v>
      </c>
      <c r="H6" s="67" t="n">
        <v>484</v>
      </c>
      <c r="I6" s="67" t="n">
        <f aca="false">G6+H6</f>
        <v>1048.7</v>
      </c>
      <c r="J6" s="68" t="n">
        <f aca="false">E6*I6</f>
        <v>846300.9</v>
      </c>
      <c r="K6" s="67" t="n">
        <v>22</v>
      </c>
      <c r="L6" s="68" t="n">
        <f aca="false">E6*K6*30</f>
        <v>532620</v>
      </c>
      <c r="M6" s="68" t="n">
        <f aca="false">L6*0.6</f>
        <v>319572</v>
      </c>
      <c r="N6" s="68" t="n">
        <f aca="false">M6*5</f>
        <v>1597860</v>
      </c>
      <c r="O6" s="68" t="n">
        <f aca="false">M6*10</f>
        <v>3195720</v>
      </c>
      <c r="P6" s="68" t="n">
        <f aca="false">M6*18</f>
        <v>5752296</v>
      </c>
      <c r="Q6" s="67" t="n">
        <v>2.5</v>
      </c>
      <c r="R6" s="68" t="n">
        <f aca="false">E6*Q6*30</f>
        <v>60525</v>
      </c>
      <c r="S6" s="64" t="s">
        <v>295</v>
      </c>
    </row>
    <row r="7" customFormat="false" ht="18" hidden="false" customHeight="true" outlineLevel="0" collapsed="false">
      <c r="A7" s="63" t="n">
        <v>2</v>
      </c>
      <c r="B7" s="64" t="s">
        <v>221</v>
      </c>
      <c r="C7" s="65" t="s">
        <v>329</v>
      </c>
      <c r="D7" s="64" t="s">
        <v>330</v>
      </c>
      <c r="E7" s="66" t="n">
        <v>180</v>
      </c>
      <c r="F7" s="64" t="s">
        <v>294</v>
      </c>
      <c r="G7" s="67" t="n">
        <v>564.7</v>
      </c>
      <c r="H7" s="67" t="n">
        <v>484</v>
      </c>
      <c r="I7" s="67" t="n">
        <f aca="false">G7+H7</f>
        <v>1048.7</v>
      </c>
      <c r="J7" s="68" t="n">
        <f aca="false">E7*I7</f>
        <v>188766</v>
      </c>
      <c r="K7" s="67" t="n">
        <v>22</v>
      </c>
      <c r="L7" s="68" t="n">
        <f aca="false">E7*K7*30</f>
        <v>118800</v>
      </c>
      <c r="M7" s="68" t="n">
        <f aca="false">L7*0.6</f>
        <v>71280</v>
      </c>
      <c r="N7" s="68" t="n">
        <f aca="false">M7*5</f>
        <v>356400</v>
      </c>
      <c r="O7" s="68" t="n">
        <f aca="false">M7*10</f>
        <v>712800</v>
      </c>
      <c r="P7" s="68" t="n">
        <f aca="false">M7*18</f>
        <v>1283040</v>
      </c>
      <c r="Q7" s="67" t="n">
        <v>2.5</v>
      </c>
      <c r="R7" s="68" t="n">
        <f aca="false">E7*Q7*30</f>
        <v>13500</v>
      </c>
      <c r="S7" s="64" t="s">
        <v>295</v>
      </c>
    </row>
    <row r="8" customFormat="false" ht="18" hidden="false" customHeight="true" outlineLevel="0" collapsed="false">
      <c r="A8" s="63" t="n">
        <v>3</v>
      </c>
      <c r="B8" s="64" t="s">
        <v>221</v>
      </c>
      <c r="C8" s="65" t="s">
        <v>331</v>
      </c>
      <c r="D8" s="64" t="s">
        <v>332</v>
      </c>
      <c r="E8" s="66" t="n">
        <v>100</v>
      </c>
      <c r="F8" s="64" t="s">
        <v>294</v>
      </c>
      <c r="G8" s="67" t="n">
        <v>564.7</v>
      </c>
      <c r="H8" s="67" t="n">
        <v>484</v>
      </c>
      <c r="I8" s="67" t="n">
        <f aca="false">G8+H8</f>
        <v>1048.7</v>
      </c>
      <c r="J8" s="68" t="n">
        <f aca="false">E8*I8</f>
        <v>104870</v>
      </c>
      <c r="K8" s="67" t="n">
        <v>22</v>
      </c>
      <c r="L8" s="68" t="n">
        <f aca="false">E8*K8*30</f>
        <v>66000</v>
      </c>
      <c r="M8" s="68" t="n">
        <f aca="false">L8*0.6</f>
        <v>39600</v>
      </c>
      <c r="N8" s="68" t="n">
        <f aca="false">M8*5</f>
        <v>198000</v>
      </c>
      <c r="O8" s="68" t="n">
        <f aca="false">M8*10</f>
        <v>396000</v>
      </c>
      <c r="P8" s="68" t="n">
        <f aca="false">M8*18</f>
        <v>712800</v>
      </c>
      <c r="Q8" s="67" t="n">
        <v>2.5</v>
      </c>
      <c r="R8" s="68" t="n">
        <f aca="false">E8*Q8*30</f>
        <v>7500</v>
      </c>
      <c r="S8" s="64" t="s">
        <v>295</v>
      </c>
    </row>
    <row r="9" customFormat="false" ht="18" hidden="false" customHeight="true" outlineLevel="0" collapsed="false">
      <c r="A9" s="63" t="n">
        <v>4</v>
      </c>
      <c r="B9" s="64" t="s">
        <v>14</v>
      </c>
      <c r="C9" s="65" t="s">
        <v>333</v>
      </c>
      <c r="D9" s="64" t="s">
        <v>333</v>
      </c>
      <c r="E9" s="66" t="n">
        <v>2113</v>
      </c>
      <c r="F9" s="64" t="s">
        <v>294</v>
      </c>
      <c r="G9" s="67" t="n">
        <v>564.7</v>
      </c>
      <c r="H9" s="67" t="n">
        <v>484</v>
      </c>
      <c r="I9" s="67" t="n">
        <f aca="false">G9+H9</f>
        <v>1048.7</v>
      </c>
      <c r="J9" s="68" t="n">
        <f aca="false">E9*I9</f>
        <v>2215903.1</v>
      </c>
      <c r="K9" s="67" t="n">
        <v>22</v>
      </c>
      <c r="L9" s="68" t="n">
        <f aca="false">E9*K9*30</f>
        <v>1394580</v>
      </c>
      <c r="M9" s="68" t="n">
        <f aca="false">L9*0.6</f>
        <v>836748</v>
      </c>
      <c r="N9" s="68" t="n">
        <f aca="false">M9*5</f>
        <v>4183740</v>
      </c>
      <c r="O9" s="68" t="n">
        <f aca="false">M9*10</f>
        <v>8367480</v>
      </c>
      <c r="P9" s="68" t="n">
        <f aca="false">M9*18</f>
        <v>15061464</v>
      </c>
      <c r="Q9" s="67" t="n">
        <v>2.5</v>
      </c>
      <c r="R9" s="68" t="n">
        <f aca="false">E9*Q9*30</f>
        <v>158475</v>
      </c>
      <c r="S9" s="64" t="s">
        <v>295</v>
      </c>
    </row>
    <row r="10" customFormat="false" ht="18" hidden="false" customHeight="true" outlineLevel="0" collapsed="false">
      <c r="A10" s="63" t="n">
        <v>5</v>
      </c>
      <c r="B10" s="64" t="s">
        <v>14</v>
      </c>
      <c r="C10" s="65" t="s">
        <v>334</v>
      </c>
      <c r="D10" s="64" t="s">
        <v>335</v>
      </c>
      <c r="E10" s="66" t="n">
        <v>339</v>
      </c>
      <c r="F10" s="64" t="s">
        <v>294</v>
      </c>
      <c r="G10" s="67" t="n">
        <v>564.7</v>
      </c>
      <c r="H10" s="67" t="n">
        <v>484</v>
      </c>
      <c r="I10" s="67" t="n">
        <f aca="false">G10+H10</f>
        <v>1048.7</v>
      </c>
      <c r="J10" s="68" t="n">
        <f aca="false">E10*I10</f>
        <v>355509.3</v>
      </c>
      <c r="K10" s="67" t="n">
        <v>22</v>
      </c>
      <c r="L10" s="68" t="n">
        <f aca="false">E10*K10*30</f>
        <v>223740</v>
      </c>
      <c r="M10" s="68" t="n">
        <f aca="false">L10*0.6</f>
        <v>134244</v>
      </c>
      <c r="N10" s="68" t="n">
        <f aca="false">M10*5</f>
        <v>671220</v>
      </c>
      <c r="O10" s="68" t="n">
        <f aca="false">M10*10</f>
        <v>1342440</v>
      </c>
      <c r="P10" s="68" t="n">
        <f aca="false">M10*18</f>
        <v>2416392</v>
      </c>
      <c r="Q10" s="67" t="n">
        <v>2.5</v>
      </c>
      <c r="R10" s="68" t="n">
        <f aca="false">E10*Q10*30</f>
        <v>25425</v>
      </c>
      <c r="S10" s="64" t="s">
        <v>295</v>
      </c>
    </row>
    <row r="11" customFormat="false" ht="18" hidden="false" customHeight="true" outlineLevel="0" collapsed="false">
      <c r="A11" s="63" t="n">
        <v>6</v>
      </c>
      <c r="B11" s="64" t="s">
        <v>14</v>
      </c>
      <c r="C11" s="65" t="s">
        <v>336</v>
      </c>
      <c r="D11" s="64" t="s">
        <v>337</v>
      </c>
      <c r="E11" s="66" t="n">
        <v>4995</v>
      </c>
      <c r="F11" s="64" t="s">
        <v>294</v>
      </c>
      <c r="G11" s="67" t="n">
        <v>564.7</v>
      </c>
      <c r="H11" s="67" t="n">
        <v>484</v>
      </c>
      <c r="I11" s="67" t="n">
        <f aca="false">G11+H11</f>
        <v>1048.7</v>
      </c>
      <c r="J11" s="68" t="n">
        <f aca="false">E11*I11</f>
        <v>5238256.5</v>
      </c>
      <c r="K11" s="67" t="n">
        <v>22</v>
      </c>
      <c r="L11" s="68" t="n">
        <f aca="false">E11*K11*30</f>
        <v>3296700</v>
      </c>
      <c r="M11" s="68" t="n">
        <f aca="false">L11*0.6</f>
        <v>1978020</v>
      </c>
      <c r="N11" s="68" t="n">
        <f aca="false">M11*5</f>
        <v>9890100</v>
      </c>
      <c r="O11" s="68" t="n">
        <f aca="false">M11*10</f>
        <v>19780200</v>
      </c>
      <c r="P11" s="68" t="n">
        <f aca="false">M11*18</f>
        <v>35604360</v>
      </c>
      <c r="Q11" s="67" t="n">
        <v>2.5</v>
      </c>
      <c r="R11" s="68" t="n">
        <f aca="false">E11*Q11*30</f>
        <v>374625</v>
      </c>
      <c r="S11" s="64" t="s">
        <v>295</v>
      </c>
    </row>
    <row r="12" customFormat="false" ht="18" hidden="false" customHeight="true" outlineLevel="0" collapsed="false">
      <c r="A12" s="63" t="n">
        <v>7</v>
      </c>
      <c r="B12" s="64" t="s">
        <v>14</v>
      </c>
      <c r="C12" s="65" t="s">
        <v>338</v>
      </c>
      <c r="D12" s="64" t="s">
        <v>339</v>
      </c>
      <c r="E12" s="66" t="n">
        <v>4993</v>
      </c>
      <c r="F12" s="64" t="s">
        <v>294</v>
      </c>
      <c r="G12" s="67" t="n">
        <v>564.7</v>
      </c>
      <c r="H12" s="67" t="n">
        <v>484</v>
      </c>
      <c r="I12" s="67" t="n">
        <f aca="false">G12+H12</f>
        <v>1048.7</v>
      </c>
      <c r="J12" s="68" t="n">
        <f aca="false">E12*I12</f>
        <v>5236159.1</v>
      </c>
      <c r="K12" s="67" t="n">
        <v>22</v>
      </c>
      <c r="L12" s="68" t="n">
        <f aca="false">E12*K12*30</f>
        <v>3295380</v>
      </c>
      <c r="M12" s="68" t="n">
        <f aca="false">L12*0.6</f>
        <v>1977228</v>
      </c>
      <c r="N12" s="68" t="n">
        <f aca="false">M12*5</f>
        <v>9886140</v>
      </c>
      <c r="O12" s="68" t="n">
        <f aca="false">M12*10</f>
        <v>19772280</v>
      </c>
      <c r="P12" s="68" t="n">
        <f aca="false">M12*18</f>
        <v>35590104</v>
      </c>
      <c r="Q12" s="67" t="n">
        <v>2.5</v>
      </c>
      <c r="R12" s="68" t="n">
        <f aca="false">E12*Q12*30</f>
        <v>374475</v>
      </c>
      <c r="S12" s="64" t="s">
        <v>295</v>
      </c>
    </row>
    <row r="13" customFormat="false" ht="18" hidden="false" customHeight="true" outlineLevel="0" collapsed="false">
      <c r="A13" s="63" t="n">
        <v>8</v>
      </c>
      <c r="B13" s="64" t="s">
        <v>14</v>
      </c>
      <c r="C13" s="65" t="s">
        <v>340</v>
      </c>
      <c r="D13" s="64" t="s">
        <v>339</v>
      </c>
      <c r="E13" s="66" t="n">
        <v>2012</v>
      </c>
      <c r="F13" s="64" t="s">
        <v>294</v>
      </c>
      <c r="G13" s="67" t="n">
        <v>564.7</v>
      </c>
      <c r="H13" s="67" t="n">
        <v>484</v>
      </c>
      <c r="I13" s="67" t="n">
        <f aca="false">G13+H13</f>
        <v>1048.7</v>
      </c>
      <c r="J13" s="68" t="n">
        <f aca="false">E13*I13</f>
        <v>2109984.4</v>
      </c>
      <c r="K13" s="67" t="n">
        <v>22</v>
      </c>
      <c r="L13" s="68" t="n">
        <f aca="false">E13*K13*30</f>
        <v>1327920</v>
      </c>
      <c r="M13" s="68" t="n">
        <f aca="false">L13*0.6</f>
        <v>796752</v>
      </c>
      <c r="N13" s="68" t="n">
        <f aca="false">M13*5</f>
        <v>3983760</v>
      </c>
      <c r="O13" s="68" t="n">
        <f aca="false">M13*10</f>
        <v>7967520</v>
      </c>
      <c r="P13" s="68" t="n">
        <f aca="false">M13*18</f>
        <v>14341536</v>
      </c>
      <c r="Q13" s="67" t="n">
        <v>2.5</v>
      </c>
      <c r="R13" s="68" t="n">
        <f aca="false">E13*Q13*30</f>
        <v>150900</v>
      </c>
      <c r="S13" s="64" t="s">
        <v>295</v>
      </c>
    </row>
    <row r="14" customFormat="false" ht="18" hidden="false" customHeight="true" outlineLevel="0" collapsed="false">
      <c r="A14" s="63" t="n">
        <v>9</v>
      </c>
      <c r="B14" s="64" t="s">
        <v>14</v>
      </c>
      <c r="C14" s="65" t="s">
        <v>341</v>
      </c>
      <c r="D14" s="64" t="s">
        <v>341</v>
      </c>
      <c r="E14" s="66" t="n">
        <v>9416</v>
      </c>
      <c r="F14" s="64" t="s">
        <v>294</v>
      </c>
      <c r="G14" s="67" t="n">
        <v>564.7</v>
      </c>
      <c r="H14" s="67" t="n">
        <v>484</v>
      </c>
      <c r="I14" s="67" t="n">
        <f aca="false">G14+H14</f>
        <v>1048.7</v>
      </c>
      <c r="J14" s="68" t="n">
        <f aca="false">E14*I14</f>
        <v>9874559.2</v>
      </c>
      <c r="K14" s="67" t="n">
        <v>22</v>
      </c>
      <c r="L14" s="68" t="n">
        <f aca="false">E14*K14*30</f>
        <v>6214560</v>
      </c>
      <c r="M14" s="68" t="n">
        <f aca="false">L14*0.6</f>
        <v>3728736</v>
      </c>
      <c r="N14" s="68" t="n">
        <f aca="false">M14*5</f>
        <v>18643680</v>
      </c>
      <c r="O14" s="68" t="n">
        <f aca="false">M14*10</f>
        <v>37287360</v>
      </c>
      <c r="P14" s="68" t="n">
        <f aca="false">M14*18</f>
        <v>67117248</v>
      </c>
      <c r="Q14" s="67" t="n">
        <v>2.5</v>
      </c>
      <c r="R14" s="68" t="n">
        <f aca="false">E14*Q14*30</f>
        <v>706200</v>
      </c>
      <c r="S14" s="64" t="s">
        <v>295</v>
      </c>
    </row>
    <row r="15" customFormat="false" ht="18" hidden="false" customHeight="true" outlineLevel="0" collapsed="false">
      <c r="A15" s="63" t="n">
        <v>10</v>
      </c>
      <c r="B15" s="64" t="s">
        <v>14</v>
      </c>
      <c r="C15" s="65" t="s">
        <v>342</v>
      </c>
      <c r="D15" s="64" t="s">
        <v>333</v>
      </c>
      <c r="E15" s="66" t="n">
        <v>5000</v>
      </c>
      <c r="F15" s="64" t="s">
        <v>294</v>
      </c>
      <c r="G15" s="67" t="n">
        <v>564.7</v>
      </c>
      <c r="H15" s="67" t="n">
        <v>484</v>
      </c>
      <c r="I15" s="67" t="n">
        <f aca="false">G15+H15</f>
        <v>1048.7</v>
      </c>
      <c r="J15" s="68" t="n">
        <f aca="false">E15*I15</f>
        <v>5243500</v>
      </c>
      <c r="K15" s="67" t="n">
        <v>22</v>
      </c>
      <c r="L15" s="68" t="n">
        <f aca="false">E15*K15*30</f>
        <v>3300000</v>
      </c>
      <c r="M15" s="68" t="n">
        <f aca="false">L15*0.6</f>
        <v>1980000</v>
      </c>
      <c r="N15" s="68" t="n">
        <f aca="false">M15*5</f>
        <v>9900000</v>
      </c>
      <c r="O15" s="68" t="n">
        <f aca="false">M15*10</f>
        <v>19800000</v>
      </c>
      <c r="P15" s="68" t="n">
        <f aca="false">M15*18</f>
        <v>35640000</v>
      </c>
      <c r="Q15" s="67" t="n">
        <v>2.5</v>
      </c>
      <c r="R15" s="68" t="n">
        <f aca="false">E15*Q15*30</f>
        <v>375000</v>
      </c>
      <c r="S15" s="64" t="s">
        <v>295</v>
      </c>
    </row>
    <row r="16" customFormat="false" ht="18" hidden="false" customHeight="true" outlineLevel="0" collapsed="false">
      <c r="A16" s="63" t="n">
        <v>11</v>
      </c>
      <c r="B16" s="64" t="s">
        <v>14</v>
      </c>
      <c r="C16" s="65" t="s">
        <v>343</v>
      </c>
      <c r="D16" s="64" t="s">
        <v>343</v>
      </c>
      <c r="E16" s="66" t="n">
        <v>6315</v>
      </c>
      <c r="F16" s="64" t="s">
        <v>294</v>
      </c>
      <c r="G16" s="67" t="n">
        <v>564.7</v>
      </c>
      <c r="H16" s="67" t="n">
        <v>484</v>
      </c>
      <c r="I16" s="67" t="n">
        <f aca="false">G16+H16</f>
        <v>1048.7</v>
      </c>
      <c r="J16" s="68" t="n">
        <f aca="false">E16*I16</f>
        <v>6622540.5</v>
      </c>
      <c r="K16" s="67" t="n">
        <v>22</v>
      </c>
      <c r="L16" s="68" t="n">
        <f aca="false">E16*K16*30</f>
        <v>4167900</v>
      </c>
      <c r="M16" s="68" t="n">
        <f aca="false">L16*0.6</f>
        <v>2500740</v>
      </c>
      <c r="N16" s="68" t="n">
        <f aca="false">M16*5</f>
        <v>12503700</v>
      </c>
      <c r="O16" s="68" t="n">
        <f aca="false">M16*10</f>
        <v>25007400</v>
      </c>
      <c r="P16" s="68" t="n">
        <f aca="false">M16*18</f>
        <v>45013320</v>
      </c>
      <c r="Q16" s="67" t="n">
        <v>2.5</v>
      </c>
      <c r="R16" s="68" t="n">
        <f aca="false">E16*Q16*30</f>
        <v>473625</v>
      </c>
      <c r="S16" s="64" t="s">
        <v>295</v>
      </c>
    </row>
    <row r="17" customFormat="false" ht="18" hidden="false" customHeight="true" outlineLevel="0" collapsed="false">
      <c r="A17" s="63" t="n">
        <v>12</v>
      </c>
      <c r="B17" s="64" t="s">
        <v>14</v>
      </c>
      <c r="C17" s="65" t="s">
        <v>344</v>
      </c>
      <c r="D17" s="64" t="s">
        <v>345</v>
      </c>
      <c r="E17" s="66" t="n">
        <v>5719</v>
      </c>
      <c r="F17" s="64" t="s">
        <v>294</v>
      </c>
      <c r="G17" s="67" t="n">
        <v>564.7</v>
      </c>
      <c r="H17" s="67" t="n">
        <v>484</v>
      </c>
      <c r="I17" s="67" t="n">
        <f aca="false">G17+H17</f>
        <v>1048.7</v>
      </c>
      <c r="J17" s="68" t="n">
        <f aca="false">E17*I17</f>
        <v>5997515.3</v>
      </c>
      <c r="K17" s="67" t="n">
        <v>22</v>
      </c>
      <c r="L17" s="68" t="n">
        <f aca="false">E17*K17*30</f>
        <v>3774540</v>
      </c>
      <c r="M17" s="68" t="n">
        <f aca="false">L17*0.6</f>
        <v>2264724</v>
      </c>
      <c r="N17" s="68" t="n">
        <f aca="false">M17*5</f>
        <v>11323620</v>
      </c>
      <c r="O17" s="68" t="n">
        <f aca="false">M17*10</f>
        <v>22647240</v>
      </c>
      <c r="P17" s="68" t="n">
        <f aca="false">M17*18</f>
        <v>40765032</v>
      </c>
      <c r="Q17" s="67" t="n">
        <v>2.5</v>
      </c>
      <c r="R17" s="68" t="n">
        <f aca="false">E17*Q17*30</f>
        <v>428925</v>
      </c>
      <c r="S17" s="64" t="s">
        <v>295</v>
      </c>
    </row>
    <row r="18" customFormat="false" ht="18" hidden="false" customHeight="true" outlineLevel="0" collapsed="false">
      <c r="A18" s="63" t="n">
        <v>13</v>
      </c>
      <c r="B18" s="64" t="s">
        <v>14</v>
      </c>
      <c r="C18" s="65" t="s">
        <v>346</v>
      </c>
      <c r="D18" s="64" t="s">
        <v>347</v>
      </c>
      <c r="E18" s="66" t="n">
        <v>954</v>
      </c>
      <c r="F18" s="64" t="s">
        <v>294</v>
      </c>
      <c r="G18" s="67" t="n">
        <v>564.7</v>
      </c>
      <c r="H18" s="67" t="n">
        <v>484</v>
      </c>
      <c r="I18" s="67" t="n">
        <f aca="false">G18+H18</f>
        <v>1048.7</v>
      </c>
      <c r="J18" s="68" t="n">
        <f aca="false">E18*I18</f>
        <v>1000459.8</v>
      </c>
      <c r="K18" s="67" t="n">
        <v>22</v>
      </c>
      <c r="L18" s="68" t="n">
        <f aca="false">E18*K18*30</f>
        <v>629640</v>
      </c>
      <c r="M18" s="68" t="n">
        <f aca="false">L18*0.6</f>
        <v>377784</v>
      </c>
      <c r="N18" s="68" t="n">
        <f aca="false">M18*5</f>
        <v>1888920</v>
      </c>
      <c r="O18" s="68" t="n">
        <f aca="false">M18*10</f>
        <v>3777840</v>
      </c>
      <c r="P18" s="68" t="n">
        <f aca="false">M18*18</f>
        <v>6800112</v>
      </c>
      <c r="Q18" s="67" t="n">
        <v>2.5</v>
      </c>
      <c r="R18" s="68" t="n">
        <f aca="false">E18*Q18*30</f>
        <v>71550</v>
      </c>
      <c r="S18" s="64" t="s">
        <v>295</v>
      </c>
    </row>
    <row r="19" customFormat="false" ht="18" hidden="false" customHeight="true" outlineLevel="0" collapsed="false">
      <c r="A19" s="63" t="n">
        <v>14</v>
      </c>
      <c r="B19" s="64" t="s">
        <v>221</v>
      </c>
      <c r="C19" s="65" t="s">
        <v>348</v>
      </c>
      <c r="D19" s="64" t="s">
        <v>349</v>
      </c>
      <c r="E19" s="66" t="n">
        <v>2445</v>
      </c>
      <c r="F19" s="64" t="s">
        <v>294</v>
      </c>
      <c r="G19" s="67" t="n">
        <v>564.7</v>
      </c>
      <c r="H19" s="67" t="n">
        <v>484</v>
      </c>
      <c r="I19" s="67" t="n">
        <f aca="false">G19+H19</f>
        <v>1048.7</v>
      </c>
      <c r="J19" s="68" t="n">
        <f aca="false">E19*I19</f>
        <v>2564071.5</v>
      </c>
      <c r="K19" s="67" t="n">
        <v>22</v>
      </c>
      <c r="L19" s="68" t="n">
        <f aca="false">E19*K19*30</f>
        <v>1613700</v>
      </c>
      <c r="M19" s="68" t="n">
        <f aca="false">L19*0.6</f>
        <v>968220</v>
      </c>
      <c r="N19" s="68" t="n">
        <f aca="false">M19*5</f>
        <v>4841100</v>
      </c>
      <c r="O19" s="68" t="n">
        <f aca="false">M19*10</f>
        <v>9682200</v>
      </c>
      <c r="P19" s="68" t="n">
        <f aca="false">M19*18</f>
        <v>17427960</v>
      </c>
      <c r="Q19" s="67" t="n">
        <v>2.5</v>
      </c>
      <c r="R19" s="68" t="n">
        <f aca="false">E19*Q19*30</f>
        <v>183375</v>
      </c>
      <c r="S19" s="64" t="s">
        <v>295</v>
      </c>
    </row>
    <row r="20" customFormat="false" ht="18" hidden="false" customHeight="true" outlineLevel="0" collapsed="false">
      <c r="A20" s="52" t="n">
        <v>15</v>
      </c>
      <c r="B20" s="53" t="s">
        <v>221</v>
      </c>
      <c r="C20" s="54" t="s">
        <v>350</v>
      </c>
      <c r="D20" s="53" t="s">
        <v>351</v>
      </c>
      <c r="E20" s="55" t="n">
        <v>584</v>
      </c>
      <c r="F20" s="53" t="s">
        <v>224</v>
      </c>
      <c r="G20" s="56" t="n">
        <v>803.8</v>
      </c>
      <c r="H20" s="56" t="n">
        <v>165</v>
      </c>
      <c r="I20" s="56" t="n">
        <f aca="false">G20+H20</f>
        <v>968.8</v>
      </c>
      <c r="J20" s="57" t="n">
        <f aca="false">E20*I20</f>
        <v>565779.2</v>
      </c>
      <c r="K20" s="56" t="n">
        <v>7</v>
      </c>
      <c r="L20" s="57" t="n">
        <f aca="false">E20*K20*30</f>
        <v>122640</v>
      </c>
      <c r="M20" s="57" t="n">
        <f aca="false">L20*0.6</f>
        <v>73584</v>
      </c>
      <c r="N20" s="57" t="n">
        <f aca="false">M20*5</f>
        <v>367920</v>
      </c>
      <c r="O20" s="57" t="n">
        <f aca="false">M20*10</f>
        <v>735840</v>
      </c>
      <c r="P20" s="57" t="n">
        <f aca="false">M20*18</f>
        <v>1324512</v>
      </c>
      <c r="Q20" s="56" t="n">
        <v>2</v>
      </c>
      <c r="R20" s="57" t="n">
        <f aca="false">E20*Q20*30</f>
        <v>35040</v>
      </c>
      <c r="S20" s="53" t="s">
        <v>225</v>
      </c>
    </row>
    <row r="21" customFormat="false" ht="18" hidden="false" customHeight="true" outlineLevel="0" collapsed="false">
      <c r="A21" s="52" t="n">
        <v>16</v>
      </c>
      <c r="B21" s="53" t="s">
        <v>14</v>
      </c>
      <c r="C21" s="54" t="s">
        <v>351</v>
      </c>
      <c r="D21" s="53" t="s">
        <v>351</v>
      </c>
      <c r="E21" s="55" t="n">
        <v>426</v>
      </c>
      <c r="F21" s="53" t="s">
        <v>224</v>
      </c>
      <c r="G21" s="56" t="n">
        <v>803.8</v>
      </c>
      <c r="H21" s="56" t="n">
        <v>165</v>
      </c>
      <c r="I21" s="56" t="n">
        <f aca="false">G21+H21</f>
        <v>968.8</v>
      </c>
      <c r="J21" s="57" t="n">
        <f aca="false">E21*I21</f>
        <v>412708.8</v>
      </c>
      <c r="K21" s="56" t="n">
        <v>7</v>
      </c>
      <c r="L21" s="57" t="n">
        <f aca="false">E21*K21*30</f>
        <v>89460</v>
      </c>
      <c r="M21" s="57" t="n">
        <f aca="false">L21*0.6</f>
        <v>53676</v>
      </c>
      <c r="N21" s="57" t="n">
        <f aca="false">M21*5</f>
        <v>268380</v>
      </c>
      <c r="O21" s="57" t="n">
        <f aca="false">M21*10</f>
        <v>536760</v>
      </c>
      <c r="P21" s="57" t="n">
        <f aca="false">M21*18</f>
        <v>966168</v>
      </c>
      <c r="Q21" s="56" t="n">
        <v>2</v>
      </c>
      <c r="R21" s="57" t="n">
        <f aca="false">E21*Q21*30</f>
        <v>25560</v>
      </c>
      <c r="S21" s="53" t="s">
        <v>225</v>
      </c>
    </row>
    <row r="22" customFormat="false" ht="18" hidden="false" customHeight="true" outlineLevel="0" collapsed="false">
      <c r="A22" s="52" t="n">
        <v>17</v>
      </c>
      <c r="B22" s="53" t="s">
        <v>14</v>
      </c>
      <c r="C22" s="54" t="s">
        <v>352</v>
      </c>
      <c r="D22" s="53" t="s">
        <v>353</v>
      </c>
      <c r="E22" s="55" t="n">
        <v>839</v>
      </c>
      <c r="F22" s="53" t="s">
        <v>224</v>
      </c>
      <c r="G22" s="56" t="n">
        <v>803.8</v>
      </c>
      <c r="H22" s="56" t="n">
        <v>165</v>
      </c>
      <c r="I22" s="56" t="n">
        <f aca="false">G22+H22</f>
        <v>968.8</v>
      </c>
      <c r="J22" s="57" t="n">
        <f aca="false">E22*I22</f>
        <v>812823.2</v>
      </c>
      <c r="K22" s="56" t="n">
        <v>7</v>
      </c>
      <c r="L22" s="57" t="n">
        <f aca="false">E22*K22*30</f>
        <v>176190</v>
      </c>
      <c r="M22" s="57" t="n">
        <f aca="false">L22*0.6</f>
        <v>105714</v>
      </c>
      <c r="N22" s="57" t="n">
        <f aca="false">M22*5</f>
        <v>528570</v>
      </c>
      <c r="O22" s="57" t="n">
        <f aca="false">M22*10</f>
        <v>1057140</v>
      </c>
      <c r="P22" s="57" t="n">
        <f aca="false">M22*18</f>
        <v>1902852</v>
      </c>
      <c r="Q22" s="56" t="n">
        <v>2</v>
      </c>
      <c r="R22" s="57" t="n">
        <f aca="false">E22*Q22*30</f>
        <v>50340</v>
      </c>
      <c r="S22" s="53" t="s">
        <v>225</v>
      </c>
    </row>
    <row r="23" customFormat="false" ht="18" hidden="false" customHeight="true" outlineLevel="0" collapsed="false">
      <c r="A23" s="52" t="n">
        <v>18</v>
      </c>
      <c r="B23" s="53" t="s">
        <v>221</v>
      </c>
      <c r="C23" s="54" t="s">
        <v>354</v>
      </c>
      <c r="D23" s="53" t="s">
        <v>355</v>
      </c>
      <c r="E23" s="55" t="n">
        <v>1571</v>
      </c>
      <c r="F23" s="53" t="s">
        <v>224</v>
      </c>
      <c r="G23" s="56" t="n">
        <v>803.8</v>
      </c>
      <c r="H23" s="56" t="n">
        <v>165</v>
      </c>
      <c r="I23" s="56" t="n">
        <f aca="false">G23+H23</f>
        <v>968.8</v>
      </c>
      <c r="J23" s="57" t="n">
        <f aca="false">E23*I23</f>
        <v>1521984.8</v>
      </c>
      <c r="K23" s="56" t="n">
        <v>7</v>
      </c>
      <c r="L23" s="57" t="n">
        <f aca="false">E23*K23*30</f>
        <v>329910</v>
      </c>
      <c r="M23" s="57" t="n">
        <f aca="false">L23*0.6</f>
        <v>197946</v>
      </c>
      <c r="N23" s="57" t="n">
        <f aca="false">M23*5</f>
        <v>989730</v>
      </c>
      <c r="O23" s="57" t="n">
        <f aca="false">M23*10</f>
        <v>1979460</v>
      </c>
      <c r="P23" s="57" t="n">
        <f aca="false">M23*18</f>
        <v>3563028</v>
      </c>
      <c r="Q23" s="56" t="n">
        <v>2</v>
      </c>
      <c r="R23" s="57" t="n">
        <f aca="false">E23*Q23*30</f>
        <v>94260</v>
      </c>
      <c r="S23" s="53" t="s">
        <v>225</v>
      </c>
    </row>
    <row r="24" customFormat="false" ht="18" hidden="false" customHeight="true" outlineLevel="0" collapsed="false">
      <c r="A24" s="52" t="n">
        <v>19</v>
      </c>
      <c r="B24" s="53" t="s">
        <v>255</v>
      </c>
      <c r="C24" s="54" t="s">
        <v>356</v>
      </c>
      <c r="D24" s="53" t="s">
        <v>357</v>
      </c>
      <c r="E24" s="55" t="n">
        <v>756</v>
      </c>
      <c r="F24" s="53" t="s">
        <v>224</v>
      </c>
      <c r="G24" s="56" t="n">
        <v>803.8</v>
      </c>
      <c r="H24" s="56" t="n">
        <v>165</v>
      </c>
      <c r="I24" s="56" t="n">
        <f aca="false">G24+H24</f>
        <v>968.8</v>
      </c>
      <c r="J24" s="57" t="n">
        <f aca="false">E24*I24</f>
        <v>732412.8</v>
      </c>
      <c r="K24" s="56" t="n">
        <v>7</v>
      </c>
      <c r="L24" s="57" t="n">
        <f aca="false">E24*K24*30</f>
        <v>158760</v>
      </c>
      <c r="M24" s="57" t="n">
        <f aca="false">L24*0.6</f>
        <v>95256</v>
      </c>
      <c r="N24" s="57" t="n">
        <f aca="false">M24*5</f>
        <v>476280</v>
      </c>
      <c r="O24" s="57" t="n">
        <f aca="false">M24*10</f>
        <v>952560</v>
      </c>
      <c r="P24" s="57" t="n">
        <f aca="false">M24*18</f>
        <v>1714608</v>
      </c>
      <c r="Q24" s="56" t="n">
        <v>2</v>
      </c>
      <c r="R24" s="57" t="n">
        <f aca="false">E24*Q24*30</f>
        <v>45360</v>
      </c>
      <c r="S24" s="53" t="s">
        <v>225</v>
      </c>
    </row>
    <row r="25" customFormat="false" ht="18" hidden="false" customHeight="true" outlineLevel="0" collapsed="false">
      <c r="A25" s="52" t="n">
        <v>20</v>
      </c>
      <c r="B25" s="53" t="s">
        <v>221</v>
      </c>
      <c r="C25" s="54" t="s">
        <v>358</v>
      </c>
      <c r="D25" s="53" t="s">
        <v>359</v>
      </c>
      <c r="E25" s="55" t="n">
        <v>1190</v>
      </c>
      <c r="F25" s="53" t="s">
        <v>224</v>
      </c>
      <c r="G25" s="56" t="n">
        <v>803.8</v>
      </c>
      <c r="H25" s="56" t="n">
        <v>165</v>
      </c>
      <c r="I25" s="56" t="n">
        <f aca="false">G25+H25</f>
        <v>968.8</v>
      </c>
      <c r="J25" s="57" t="n">
        <f aca="false">E25*I25</f>
        <v>1152872</v>
      </c>
      <c r="K25" s="56" t="n">
        <v>7</v>
      </c>
      <c r="L25" s="57" t="n">
        <f aca="false">E25*K25*30</f>
        <v>249900</v>
      </c>
      <c r="M25" s="57" t="n">
        <f aca="false">L25*0.6</f>
        <v>149940</v>
      </c>
      <c r="N25" s="57" t="n">
        <f aca="false">M25*5</f>
        <v>749700</v>
      </c>
      <c r="O25" s="57" t="n">
        <f aca="false">M25*10</f>
        <v>1499400</v>
      </c>
      <c r="P25" s="57" t="n">
        <f aca="false">M25*18</f>
        <v>2698920</v>
      </c>
      <c r="Q25" s="56" t="n">
        <v>2</v>
      </c>
      <c r="R25" s="57" t="n">
        <f aca="false">E25*Q25*30</f>
        <v>71400</v>
      </c>
      <c r="S25" s="53" t="s">
        <v>225</v>
      </c>
    </row>
    <row r="26" customFormat="false" ht="18" hidden="false" customHeight="true" outlineLevel="0" collapsed="false">
      <c r="A26" s="52" t="n">
        <v>21</v>
      </c>
      <c r="B26" s="53" t="s">
        <v>14</v>
      </c>
      <c r="C26" s="54" t="s">
        <v>360</v>
      </c>
      <c r="D26" s="53" t="s">
        <v>359</v>
      </c>
      <c r="E26" s="55" t="n">
        <v>2161</v>
      </c>
      <c r="F26" s="53" t="s">
        <v>224</v>
      </c>
      <c r="G26" s="56" t="n">
        <v>803.8</v>
      </c>
      <c r="H26" s="56" t="n">
        <v>165</v>
      </c>
      <c r="I26" s="56" t="n">
        <f aca="false">G26+H26</f>
        <v>968.8</v>
      </c>
      <c r="J26" s="57" t="n">
        <f aca="false">E26*I26</f>
        <v>2093576.8</v>
      </c>
      <c r="K26" s="56" t="n">
        <v>7</v>
      </c>
      <c r="L26" s="57" t="n">
        <f aca="false">E26*K26*30</f>
        <v>453810</v>
      </c>
      <c r="M26" s="57" t="n">
        <f aca="false">L26*0.6</f>
        <v>272286</v>
      </c>
      <c r="N26" s="57" t="n">
        <f aca="false">M26*5</f>
        <v>1361430</v>
      </c>
      <c r="O26" s="57" t="n">
        <f aca="false">M26*10</f>
        <v>2722860</v>
      </c>
      <c r="P26" s="57" t="n">
        <f aca="false">M26*18</f>
        <v>4901148</v>
      </c>
      <c r="Q26" s="56" t="n">
        <v>2</v>
      </c>
      <c r="R26" s="57" t="n">
        <f aca="false">E26*Q26*30</f>
        <v>129660</v>
      </c>
      <c r="S26" s="53" t="s">
        <v>225</v>
      </c>
    </row>
    <row r="27" customFormat="false" ht="18" hidden="false" customHeight="true" outlineLevel="0" collapsed="false">
      <c r="A27" s="52" t="n">
        <v>22</v>
      </c>
      <c r="B27" s="53" t="s">
        <v>255</v>
      </c>
      <c r="C27" s="54" t="s">
        <v>361</v>
      </c>
      <c r="D27" s="53" t="s">
        <v>357</v>
      </c>
      <c r="E27" s="55" t="n">
        <v>720</v>
      </c>
      <c r="F27" s="53" t="s">
        <v>224</v>
      </c>
      <c r="G27" s="56" t="n">
        <v>803.8</v>
      </c>
      <c r="H27" s="56" t="n">
        <v>165</v>
      </c>
      <c r="I27" s="56" t="n">
        <f aca="false">G27+H27</f>
        <v>968.8</v>
      </c>
      <c r="J27" s="57" t="n">
        <f aca="false">E27*I27</f>
        <v>697536</v>
      </c>
      <c r="K27" s="56" t="n">
        <v>7</v>
      </c>
      <c r="L27" s="57" t="n">
        <f aca="false">E27*K27*30</f>
        <v>151200</v>
      </c>
      <c r="M27" s="57" t="n">
        <f aca="false">L27*0.6</f>
        <v>90720</v>
      </c>
      <c r="N27" s="57" t="n">
        <f aca="false">M27*5</f>
        <v>453600</v>
      </c>
      <c r="O27" s="57" t="n">
        <f aca="false">M27*10</f>
        <v>907200</v>
      </c>
      <c r="P27" s="57" t="n">
        <f aca="false">M27*18</f>
        <v>1632960</v>
      </c>
      <c r="Q27" s="56" t="n">
        <v>2</v>
      </c>
      <c r="R27" s="57" t="n">
        <f aca="false">E27*Q27*30</f>
        <v>43200</v>
      </c>
      <c r="S27" s="53" t="s">
        <v>225</v>
      </c>
    </row>
    <row r="28" customFormat="false" ht="18" hidden="false" customHeight="true" outlineLevel="0" collapsed="false">
      <c r="A28" s="52" t="n">
        <v>23</v>
      </c>
      <c r="B28" s="53" t="s">
        <v>255</v>
      </c>
      <c r="C28" s="54" t="s">
        <v>352</v>
      </c>
      <c r="D28" s="53" t="s">
        <v>352</v>
      </c>
      <c r="E28" s="55" t="n">
        <v>815</v>
      </c>
      <c r="F28" s="53" t="s">
        <v>224</v>
      </c>
      <c r="G28" s="56" t="n">
        <v>803.8</v>
      </c>
      <c r="H28" s="56" t="n">
        <v>165</v>
      </c>
      <c r="I28" s="56" t="n">
        <f aca="false">G28+H28</f>
        <v>968.8</v>
      </c>
      <c r="J28" s="57" t="n">
        <f aca="false">E28*I28</f>
        <v>789572</v>
      </c>
      <c r="K28" s="56" t="n">
        <v>7</v>
      </c>
      <c r="L28" s="57" t="n">
        <f aca="false">E28*K28*30</f>
        <v>171150</v>
      </c>
      <c r="M28" s="57" t="n">
        <f aca="false">L28*0.6</f>
        <v>102690</v>
      </c>
      <c r="N28" s="57" t="n">
        <f aca="false">M28*5</f>
        <v>513450</v>
      </c>
      <c r="O28" s="57" t="n">
        <f aca="false">M28*10</f>
        <v>1026900</v>
      </c>
      <c r="P28" s="57" t="n">
        <f aca="false">M28*18</f>
        <v>1848420</v>
      </c>
      <c r="Q28" s="56" t="n">
        <v>2</v>
      </c>
      <c r="R28" s="57" t="n">
        <f aca="false">E28*Q28*30</f>
        <v>48900</v>
      </c>
      <c r="S28" s="53" t="s">
        <v>225</v>
      </c>
    </row>
    <row r="29" customFormat="false" ht="18" hidden="false" customHeight="true" outlineLevel="0" collapsed="false">
      <c r="A29" s="52" t="n">
        <v>24</v>
      </c>
      <c r="B29" s="53" t="s">
        <v>255</v>
      </c>
      <c r="C29" s="54" t="s">
        <v>362</v>
      </c>
      <c r="D29" s="53" t="s">
        <v>363</v>
      </c>
      <c r="E29" s="55" t="n">
        <v>1501</v>
      </c>
      <c r="F29" s="53" t="s">
        <v>224</v>
      </c>
      <c r="G29" s="56" t="n">
        <v>803.8</v>
      </c>
      <c r="H29" s="56" t="n">
        <v>165</v>
      </c>
      <c r="I29" s="56" t="n">
        <f aca="false">G29+H29</f>
        <v>968.8</v>
      </c>
      <c r="J29" s="57" t="n">
        <f aca="false">E29*I29</f>
        <v>1454168.8</v>
      </c>
      <c r="K29" s="56" t="n">
        <v>7</v>
      </c>
      <c r="L29" s="57" t="n">
        <f aca="false">E29*K29*30</f>
        <v>315210</v>
      </c>
      <c r="M29" s="57" t="n">
        <f aca="false">L29*0.6</f>
        <v>189126</v>
      </c>
      <c r="N29" s="57" t="n">
        <f aca="false">M29*5</f>
        <v>945630</v>
      </c>
      <c r="O29" s="57" t="n">
        <f aca="false">M29*10</f>
        <v>1891260</v>
      </c>
      <c r="P29" s="57" t="n">
        <f aca="false">M29*18</f>
        <v>3404268</v>
      </c>
      <c r="Q29" s="56" t="n">
        <v>2</v>
      </c>
      <c r="R29" s="57" t="n">
        <f aca="false">E29*Q29*30</f>
        <v>90060</v>
      </c>
      <c r="S29" s="53" t="s">
        <v>225</v>
      </c>
    </row>
    <row r="30" customFormat="false" ht="18" hidden="false" customHeight="true" outlineLevel="0" collapsed="false">
      <c r="A30" s="52" t="n">
        <v>25</v>
      </c>
      <c r="B30" s="53" t="s">
        <v>255</v>
      </c>
      <c r="C30" s="54" t="s">
        <v>364</v>
      </c>
      <c r="D30" s="53" t="s">
        <v>365</v>
      </c>
      <c r="E30" s="55" t="n">
        <v>820</v>
      </c>
      <c r="F30" s="53" t="s">
        <v>224</v>
      </c>
      <c r="G30" s="56" t="n">
        <v>803.8</v>
      </c>
      <c r="H30" s="56" t="n">
        <v>165</v>
      </c>
      <c r="I30" s="56" t="n">
        <f aca="false">G30+H30</f>
        <v>968.8</v>
      </c>
      <c r="J30" s="57" t="n">
        <f aca="false">E30*I30</f>
        <v>794416</v>
      </c>
      <c r="K30" s="56" t="n">
        <v>7</v>
      </c>
      <c r="L30" s="57" t="n">
        <f aca="false">E30*K30*30</f>
        <v>172200</v>
      </c>
      <c r="M30" s="57" t="n">
        <f aca="false">L30*0.6</f>
        <v>103320</v>
      </c>
      <c r="N30" s="57" t="n">
        <f aca="false">M30*5</f>
        <v>516600</v>
      </c>
      <c r="O30" s="57" t="n">
        <f aca="false">M30*10</f>
        <v>1033200</v>
      </c>
      <c r="P30" s="57" t="n">
        <f aca="false">M30*18</f>
        <v>1859760</v>
      </c>
      <c r="Q30" s="56" t="n">
        <v>2</v>
      </c>
      <c r="R30" s="57" t="n">
        <f aca="false">E30*Q30*30</f>
        <v>49200</v>
      </c>
      <c r="S30" s="53" t="s">
        <v>225</v>
      </c>
    </row>
    <row r="31" customFormat="false" ht="19.5" hidden="false" customHeight="true" outlineLevel="0" collapsed="false">
      <c r="A31" s="58" t="s">
        <v>366</v>
      </c>
      <c r="B31" s="58"/>
      <c r="C31" s="58"/>
      <c r="D31" s="58"/>
      <c r="E31" s="59" t="n">
        <f aca="false">SUM(E6:E30)</f>
        <v>56771</v>
      </c>
      <c r="F31" s="59" t="n">
        <f aca="false">SUM(F6:F30)</f>
        <v>0</v>
      </c>
      <c r="G31" s="60" t="n">
        <f aca="false">SUM(G6:G30)</f>
        <v>16747.6</v>
      </c>
      <c r="H31" s="60" t="n">
        <f aca="false">SUM(H6:H30)</f>
        <v>8591</v>
      </c>
      <c r="I31" s="60" t="n">
        <f aca="false">SUM(I6:I30)</f>
        <v>25338.6</v>
      </c>
      <c r="J31" s="61" t="n">
        <f aca="false">SUM(J6:J30)</f>
        <v>58626246</v>
      </c>
      <c r="K31" s="60" t="n">
        <f aca="false">SUM(K6:K30)</f>
        <v>385</v>
      </c>
      <c r="L31" s="61" t="n">
        <f aca="false">SUM(L6:L30)</f>
        <v>32346510</v>
      </c>
      <c r="M31" s="61" t="n">
        <f aca="false">SUM(M6:M30)</f>
        <v>19407906</v>
      </c>
      <c r="N31" s="61" t="n">
        <f aca="false">SUM(N6:N30)</f>
        <v>97039530</v>
      </c>
      <c r="O31" s="61" t="n">
        <f aca="false">SUM(O6:O30)</f>
        <v>194079060</v>
      </c>
      <c r="P31" s="61" t="n">
        <f aca="false">SUM(P6:P30)</f>
        <v>349342308</v>
      </c>
      <c r="Q31" s="60" t="n">
        <f aca="false">SUM(Q6:Q30)</f>
        <v>57</v>
      </c>
      <c r="R31" s="61" t="n">
        <f aca="false">SUM(R6:R30)</f>
        <v>4087080</v>
      </c>
      <c r="S31" s="62"/>
    </row>
  </sheetData>
  <mergeCells count="4">
    <mergeCell ref="A1:S1"/>
    <mergeCell ref="A2:S2"/>
    <mergeCell ref="A3:S3"/>
    <mergeCell ref="A31:D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N22" activeCellId="0" sqref="N22"/>
    </sheetView>
  </sheetViews>
  <sheetFormatPr defaultColWidth="8.71484375" defaultRowHeight="15" zeroHeight="false" outlineLevelRow="0" outlineLevelCol="0"/>
  <cols>
    <col collapsed="false" customWidth="true" hidden="false" outlineLevel="0" max="1" min="1" style="0" width="3.42"/>
    <col collapsed="false" customWidth="true" hidden="false" outlineLevel="0" max="2" min="2" style="0" width="6.43"/>
    <col collapsed="false" customWidth="true" hidden="false" outlineLevel="0" max="3" min="3" style="0" width="16.57"/>
    <col collapsed="false" customWidth="true" hidden="false" outlineLevel="0" max="4" min="4" style="0" width="16"/>
    <col collapsed="false" customWidth="true" hidden="false" outlineLevel="0" max="5" min="5" style="0" width="7.29"/>
    <col collapsed="false" customWidth="true" hidden="false" outlineLevel="0" max="6" min="6" style="0" width="6.29"/>
    <col collapsed="false" customWidth="true" hidden="false" outlineLevel="0" max="7" min="7" style="0" width="10.57"/>
    <col collapsed="false" customWidth="true" hidden="false" outlineLevel="0" max="8" min="8" style="0" width="10.85"/>
    <col collapsed="false" customWidth="true" hidden="false" outlineLevel="0" max="9" min="9" style="0" width="9"/>
    <col collapsed="false" customWidth="true" hidden="false" outlineLevel="0" max="10" min="10" style="0" width="10.85"/>
    <col collapsed="false" customWidth="true" hidden="false" outlineLevel="0" max="11" min="11" style="0" width="10.42"/>
    <col collapsed="false" customWidth="true" hidden="false" outlineLevel="0" max="12" min="12" style="0" width="9.86"/>
    <col collapsed="false" customWidth="true" hidden="false" outlineLevel="0" max="13" min="13" style="0" width="13.57"/>
    <col collapsed="false" customWidth="true" hidden="false" outlineLevel="0" max="15" min="14" style="0" width="9.86"/>
    <col collapsed="false" customWidth="true" hidden="false" outlineLevel="0" max="16" min="16" style="0" width="10.85"/>
    <col collapsed="false" customWidth="true" hidden="false" outlineLevel="0" max="17" min="17" style="0" width="10.57"/>
    <col collapsed="false" customWidth="true" hidden="false" outlineLevel="0" max="18" min="18" style="0" width="11.85"/>
    <col collapsed="false" customWidth="true" hidden="false" outlineLevel="0" max="19" min="19" style="0" width="100.14"/>
  </cols>
  <sheetData>
    <row r="1" customFormat="false" ht="27.75" hidden="false" customHeight="true" outlineLevel="0" collapsed="false">
      <c r="A1" s="47" t="s">
        <v>367</v>
      </c>
      <c r="B1" s="47"/>
      <c r="C1" s="47"/>
      <c r="D1" s="47"/>
      <c r="E1" s="47"/>
      <c r="F1" s="47"/>
      <c r="G1" s="47"/>
      <c r="H1" s="47"/>
      <c r="I1" s="47"/>
      <c r="J1" s="47"/>
      <c r="K1" s="47"/>
      <c r="L1" s="47"/>
      <c r="M1" s="47"/>
      <c r="N1" s="47"/>
      <c r="O1" s="47"/>
      <c r="P1" s="47"/>
      <c r="Q1" s="47"/>
      <c r="R1" s="47"/>
      <c r="S1" s="47"/>
    </row>
    <row r="2" customFormat="false" ht="15" hidden="false" customHeight="true" outlineLevel="0" collapsed="false">
      <c r="A2" s="48" t="s">
        <v>201</v>
      </c>
      <c r="B2" s="48"/>
      <c r="C2" s="48"/>
      <c r="D2" s="48"/>
      <c r="E2" s="48"/>
      <c r="F2" s="48"/>
      <c r="G2" s="48"/>
      <c r="H2" s="48"/>
      <c r="I2" s="48"/>
      <c r="J2" s="48"/>
      <c r="K2" s="48"/>
      <c r="L2" s="48"/>
      <c r="M2" s="48"/>
      <c r="N2" s="48"/>
      <c r="O2" s="48"/>
      <c r="P2" s="48"/>
      <c r="Q2" s="48"/>
      <c r="R2" s="48"/>
      <c r="S2" s="48"/>
    </row>
    <row r="3" customFormat="false" ht="15" hidden="false" customHeight="true" outlineLevel="0" collapsed="false">
      <c r="A3" s="49" t="s">
        <v>368</v>
      </c>
      <c r="B3" s="49"/>
      <c r="C3" s="49"/>
      <c r="D3" s="49"/>
      <c r="E3" s="49"/>
      <c r="F3" s="49"/>
      <c r="G3" s="49"/>
      <c r="H3" s="49"/>
      <c r="I3" s="49"/>
      <c r="J3" s="49"/>
      <c r="K3" s="49"/>
      <c r="L3" s="49"/>
      <c r="M3" s="49"/>
      <c r="N3" s="49"/>
      <c r="O3" s="49"/>
      <c r="P3" s="49"/>
      <c r="Q3" s="49"/>
      <c r="R3" s="49"/>
      <c r="S3" s="49"/>
    </row>
    <row r="4" customFormat="false" ht="6" hidden="false" customHeight="true" outlineLevel="0" collapsed="false"/>
    <row r="5" s="51" customFormat="true" ht="51.75" hidden="false" customHeight="true" outlineLevel="0" collapsed="false">
      <c r="A5" s="50" t="s">
        <v>203</v>
      </c>
      <c r="B5" s="50" t="s">
        <v>204</v>
      </c>
      <c r="C5" s="50" t="s">
        <v>205</v>
      </c>
      <c r="D5" s="50" t="s">
        <v>206</v>
      </c>
      <c r="E5" s="50" t="s">
        <v>207</v>
      </c>
      <c r="F5" s="50" t="s">
        <v>208</v>
      </c>
      <c r="G5" s="50" t="s">
        <v>209</v>
      </c>
      <c r="H5" s="50" t="s">
        <v>210</v>
      </c>
      <c r="I5" s="50" t="s">
        <v>211</v>
      </c>
      <c r="J5" s="50" t="s">
        <v>212</v>
      </c>
      <c r="K5" s="50" t="s">
        <v>213</v>
      </c>
      <c r="L5" s="50" t="s">
        <v>22</v>
      </c>
      <c r="M5" s="50" t="s">
        <v>214</v>
      </c>
      <c r="N5" s="50" t="s">
        <v>215</v>
      </c>
      <c r="O5" s="50" t="s">
        <v>216</v>
      </c>
      <c r="P5" s="50" t="s">
        <v>217</v>
      </c>
      <c r="Q5" s="50" t="s">
        <v>218</v>
      </c>
      <c r="R5" s="50" t="s">
        <v>219</v>
      </c>
      <c r="S5" s="50" t="s">
        <v>220</v>
      </c>
    </row>
    <row r="6" customFormat="false" ht="18" hidden="false" customHeight="true" outlineLevel="0" collapsed="false">
      <c r="A6" s="63" t="n">
        <v>1</v>
      </c>
      <c r="B6" s="64" t="s">
        <v>14</v>
      </c>
      <c r="C6" s="65" t="s">
        <v>369</v>
      </c>
      <c r="D6" s="64" t="s">
        <v>369</v>
      </c>
      <c r="E6" s="66" t="n">
        <v>7025</v>
      </c>
      <c r="F6" s="64" t="s">
        <v>294</v>
      </c>
      <c r="G6" s="67" t="n">
        <v>564.7</v>
      </c>
      <c r="H6" s="67" t="n">
        <v>484</v>
      </c>
      <c r="I6" s="67" t="n">
        <f aca="false">G6+H6</f>
        <v>1048.7</v>
      </c>
      <c r="J6" s="68" t="n">
        <f aca="false">E6*I6</f>
        <v>7367117.5</v>
      </c>
      <c r="K6" s="67" t="n">
        <v>22</v>
      </c>
      <c r="L6" s="68" t="n">
        <f aca="false">E6*K6*30</f>
        <v>4636500</v>
      </c>
      <c r="M6" s="68" t="n">
        <f aca="false">L6*0.6</f>
        <v>2781900</v>
      </c>
      <c r="N6" s="68" t="n">
        <f aca="false">M6*5</f>
        <v>13909500</v>
      </c>
      <c r="O6" s="68" t="n">
        <f aca="false">M6*10</f>
        <v>27819000</v>
      </c>
      <c r="P6" s="68" t="n">
        <f aca="false">M6*18</f>
        <v>50074200</v>
      </c>
      <c r="Q6" s="67" t="n">
        <v>2.5</v>
      </c>
      <c r="R6" s="68" t="n">
        <f aca="false">E6*Q6*30</f>
        <v>526875</v>
      </c>
      <c r="S6" s="64" t="s">
        <v>295</v>
      </c>
    </row>
    <row r="7" customFormat="false" ht="18" hidden="false" customHeight="true" outlineLevel="0" collapsed="false">
      <c r="A7" s="63" t="n">
        <v>2</v>
      </c>
      <c r="B7" s="64" t="s">
        <v>255</v>
      </c>
      <c r="C7" s="65" t="s">
        <v>370</v>
      </c>
      <c r="D7" s="64" t="s">
        <v>369</v>
      </c>
      <c r="E7" s="66" t="n">
        <v>236</v>
      </c>
      <c r="F7" s="64" t="s">
        <v>294</v>
      </c>
      <c r="G7" s="67" t="n">
        <v>564.7</v>
      </c>
      <c r="H7" s="67" t="n">
        <v>484</v>
      </c>
      <c r="I7" s="67" t="n">
        <f aca="false">G7+H7</f>
        <v>1048.7</v>
      </c>
      <c r="J7" s="68" t="n">
        <f aca="false">E7*I7</f>
        <v>247493.2</v>
      </c>
      <c r="K7" s="67" t="n">
        <v>22</v>
      </c>
      <c r="L7" s="68" t="n">
        <f aca="false">E7*K7*30</f>
        <v>155760</v>
      </c>
      <c r="M7" s="68" t="n">
        <f aca="false">L7*0.6</f>
        <v>93456</v>
      </c>
      <c r="N7" s="68" t="n">
        <f aca="false">M7*5</f>
        <v>467280</v>
      </c>
      <c r="O7" s="68" t="n">
        <f aca="false">M7*10</f>
        <v>934560</v>
      </c>
      <c r="P7" s="68" t="n">
        <f aca="false">M7*18</f>
        <v>1682208</v>
      </c>
      <c r="Q7" s="67" t="n">
        <v>2.5</v>
      </c>
      <c r="R7" s="68" t="n">
        <f aca="false">E7*Q7*30</f>
        <v>17700</v>
      </c>
      <c r="S7" s="64" t="s">
        <v>295</v>
      </c>
    </row>
    <row r="8" customFormat="false" ht="18" hidden="false" customHeight="true" outlineLevel="0" collapsed="false">
      <c r="A8" s="63" t="n">
        <v>3</v>
      </c>
      <c r="B8" s="64" t="s">
        <v>255</v>
      </c>
      <c r="C8" s="65" t="s">
        <v>371</v>
      </c>
      <c r="D8" s="64" t="s">
        <v>372</v>
      </c>
      <c r="E8" s="66" t="n">
        <v>521</v>
      </c>
      <c r="F8" s="64" t="s">
        <v>294</v>
      </c>
      <c r="G8" s="67" t="n">
        <v>564.7</v>
      </c>
      <c r="H8" s="67" t="n">
        <v>484</v>
      </c>
      <c r="I8" s="67" t="n">
        <f aca="false">G8+H8</f>
        <v>1048.7</v>
      </c>
      <c r="J8" s="68" t="n">
        <f aca="false">E8*I8</f>
        <v>546372.7</v>
      </c>
      <c r="K8" s="67" t="n">
        <v>22</v>
      </c>
      <c r="L8" s="68" t="n">
        <f aca="false">E8*K8*30</f>
        <v>343860</v>
      </c>
      <c r="M8" s="68" t="n">
        <f aca="false">L8*0.6</f>
        <v>206316</v>
      </c>
      <c r="N8" s="68" t="n">
        <f aca="false">M8*5</f>
        <v>1031580</v>
      </c>
      <c r="O8" s="68" t="n">
        <f aca="false">M8*10</f>
        <v>2063160</v>
      </c>
      <c r="P8" s="68" t="n">
        <f aca="false">M8*18</f>
        <v>3713688</v>
      </c>
      <c r="Q8" s="67" t="n">
        <v>2.5</v>
      </c>
      <c r="R8" s="68" t="n">
        <f aca="false">E8*Q8*30</f>
        <v>39075</v>
      </c>
      <c r="S8" s="64" t="s">
        <v>295</v>
      </c>
    </row>
    <row r="9" customFormat="false" ht="18" hidden="false" customHeight="true" outlineLevel="0" collapsed="false">
      <c r="A9" s="63" t="n">
        <v>4</v>
      </c>
      <c r="B9" s="64" t="s">
        <v>14</v>
      </c>
      <c r="C9" s="65" t="s">
        <v>373</v>
      </c>
      <c r="D9" s="64" t="s">
        <v>373</v>
      </c>
      <c r="E9" s="66" t="n">
        <v>1297</v>
      </c>
      <c r="F9" s="64" t="s">
        <v>294</v>
      </c>
      <c r="G9" s="67" t="n">
        <v>564.7</v>
      </c>
      <c r="H9" s="67" t="n">
        <v>484</v>
      </c>
      <c r="I9" s="67" t="n">
        <f aca="false">G9+H9</f>
        <v>1048.7</v>
      </c>
      <c r="J9" s="68" t="n">
        <f aca="false">E9*I9</f>
        <v>1360163.9</v>
      </c>
      <c r="K9" s="67" t="n">
        <v>22</v>
      </c>
      <c r="L9" s="68" t="n">
        <f aca="false">E9*K9*30</f>
        <v>856020</v>
      </c>
      <c r="M9" s="68" t="n">
        <f aca="false">L9*0.6</f>
        <v>513612</v>
      </c>
      <c r="N9" s="68" t="n">
        <f aca="false">M9*5</f>
        <v>2568060</v>
      </c>
      <c r="O9" s="68" t="n">
        <f aca="false">M9*10</f>
        <v>5136120</v>
      </c>
      <c r="P9" s="68" t="n">
        <f aca="false">M9*18</f>
        <v>9245016</v>
      </c>
      <c r="Q9" s="67" t="n">
        <v>2.5</v>
      </c>
      <c r="R9" s="68" t="n">
        <f aca="false">E9*Q9*30</f>
        <v>97275</v>
      </c>
      <c r="S9" s="64" t="s">
        <v>295</v>
      </c>
    </row>
    <row r="10" customFormat="false" ht="18" hidden="false" customHeight="true" outlineLevel="0" collapsed="false">
      <c r="A10" s="63" t="n">
        <v>5</v>
      </c>
      <c r="B10" s="64" t="s">
        <v>14</v>
      </c>
      <c r="C10" s="65" t="s">
        <v>374</v>
      </c>
      <c r="D10" s="64" t="s">
        <v>374</v>
      </c>
      <c r="E10" s="66" t="n">
        <v>1276</v>
      </c>
      <c r="F10" s="64" t="s">
        <v>294</v>
      </c>
      <c r="G10" s="67" t="n">
        <v>564.7</v>
      </c>
      <c r="H10" s="67" t="n">
        <v>484</v>
      </c>
      <c r="I10" s="67" t="n">
        <f aca="false">G10+H10</f>
        <v>1048.7</v>
      </c>
      <c r="J10" s="68" t="n">
        <f aca="false">E10*I10</f>
        <v>1338141.2</v>
      </c>
      <c r="K10" s="67" t="n">
        <v>22</v>
      </c>
      <c r="L10" s="68" t="n">
        <f aca="false">E10*K10*30</f>
        <v>842160</v>
      </c>
      <c r="M10" s="68" t="n">
        <f aca="false">L10*0.6</f>
        <v>505296</v>
      </c>
      <c r="N10" s="68" t="n">
        <f aca="false">M10*5</f>
        <v>2526480</v>
      </c>
      <c r="O10" s="68" t="n">
        <f aca="false">M10*10</f>
        <v>5052960</v>
      </c>
      <c r="P10" s="68" t="n">
        <f aca="false">M10*18</f>
        <v>9095328</v>
      </c>
      <c r="Q10" s="67" t="n">
        <v>2.5</v>
      </c>
      <c r="R10" s="68" t="n">
        <f aca="false">E10*Q10*30</f>
        <v>95700</v>
      </c>
      <c r="S10" s="64" t="s">
        <v>295</v>
      </c>
    </row>
    <row r="11" customFormat="false" ht="18" hidden="false" customHeight="true" outlineLevel="0" collapsed="false">
      <c r="A11" s="63" t="n">
        <v>6</v>
      </c>
      <c r="B11" s="64" t="s">
        <v>14</v>
      </c>
      <c r="C11" s="65" t="s">
        <v>375</v>
      </c>
      <c r="D11" s="64" t="s">
        <v>375</v>
      </c>
      <c r="E11" s="66" t="n">
        <v>1216</v>
      </c>
      <c r="F11" s="64" t="s">
        <v>294</v>
      </c>
      <c r="G11" s="67" t="n">
        <v>564.7</v>
      </c>
      <c r="H11" s="67" t="n">
        <v>484</v>
      </c>
      <c r="I11" s="67" t="n">
        <f aca="false">G11+H11</f>
        <v>1048.7</v>
      </c>
      <c r="J11" s="68" t="n">
        <f aca="false">E11*I11</f>
        <v>1275219.2</v>
      </c>
      <c r="K11" s="67" t="n">
        <v>22</v>
      </c>
      <c r="L11" s="68" t="n">
        <f aca="false">E11*K11*30</f>
        <v>802560</v>
      </c>
      <c r="M11" s="68" t="n">
        <f aca="false">L11*0.6</f>
        <v>481536</v>
      </c>
      <c r="N11" s="68" t="n">
        <f aca="false">M11*5</f>
        <v>2407680</v>
      </c>
      <c r="O11" s="68" t="n">
        <f aca="false">M11*10</f>
        <v>4815360</v>
      </c>
      <c r="P11" s="68" t="n">
        <f aca="false">M11*18</f>
        <v>8667648</v>
      </c>
      <c r="Q11" s="67" t="n">
        <v>2.5</v>
      </c>
      <c r="R11" s="68" t="n">
        <f aca="false">E11*Q11*30</f>
        <v>91200</v>
      </c>
      <c r="S11" s="64" t="s">
        <v>295</v>
      </c>
    </row>
    <row r="12" customFormat="false" ht="18" hidden="false" customHeight="true" outlineLevel="0" collapsed="false">
      <c r="A12" s="63" t="n">
        <v>7</v>
      </c>
      <c r="B12" s="64" t="s">
        <v>14</v>
      </c>
      <c r="C12" s="65" t="s">
        <v>376</v>
      </c>
      <c r="D12" s="64" t="s">
        <v>376</v>
      </c>
      <c r="E12" s="66" t="n">
        <v>1045</v>
      </c>
      <c r="F12" s="64" t="s">
        <v>294</v>
      </c>
      <c r="G12" s="67" t="n">
        <v>564.7</v>
      </c>
      <c r="H12" s="67" t="n">
        <v>484</v>
      </c>
      <c r="I12" s="67" t="n">
        <f aca="false">G12+H12</f>
        <v>1048.7</v>
      </c>
      <c r="J12" s="68" t="n">
        <f aca="false">E12*I12</f>
        <v>1095891.5</v>
      </c>
      <c r="K12" s="67" t="n">
        <v>22</v>
      </c>
      <c r="L12" s="68" t="n">
        <f aca="false">E12*K12*30</f>
        <v>689700</v>
      </c>
      <c r="M12" s="68" t="n">
        <f aca="false">L12*0.6</f>
        <v>413820</v>
      </c>
      <c r="N12" s="68" t="n">
        <f aca="false">M12*5</f>
        <v>2069100</v>
      </c>
      <c r="O12" s="68" t="n">
        <f aca="false">M12*10</f>
        <v>4138200</v>
      </c>
      <c r="P12" s="68" t="n">
        <f aca="false">M12*18</f>
        <v>7448760</v>
      </c>
      <c r="Q12" s="67" t="n">
        <v>2.5</v>
      </c>
      <c r="R12" s="68" t="n">
        <f aca="false">E12*Q12*30</f>
        <v>78375</v>
      </c>
      <c r="S12" s="64" t="s">
        <v>295</v>
      </c>
    </row>
    <row r="13" customFormat="false" ht="18" hidden="false" customHeight="true" outlineLevel="0" collapsed="false">
      <c r="A13" s="63" t="n">
        <v>8</v>
      </c>
      <c r="B13" s="64" t="s">
        <v>14</v>
      </c>
      <c r="C13" s="65" t="s">
        <v>377</v>
      </c>
      <c r="D13" s="64" t="s">
        <v>377</v>
      </c>
      <c r="E13" s="66" t="n">
        <v>397</v>
      </c>
      <c r="F13" s="64" t="s">
        <v>294</v>
      </c>
      <c r="G13" s="67" t="n">
        <v>564.7</v>
      </c>
      <c r="H13" s="67" t="n">
        <v>484</v>
      </c>
      <c r="I13" s="67" t="n">
        <f aca="false">G13+H13</f>
        <v>1048.7</v>
      </c>
      <c r="J13" s="68" t="n">
        <f aca="false">E13*I13</f>
        <v>416333.9</v>
      </c>
      <c r="K13" s="67" t="n">
        <v>22</v>
      </c>
      <c r="L13" s="68" t="n">
        <f aca="false">E13*K13*30</f>
        <v>262020</v>
      </c>
      <c r="M13" s="68" t="n">
        <f aca="false">L13*0.6</f>
        <v>157212</v>
      </c>
      <c r="N13" s="68" t="n">
        <f aca="false">M13*5</f>
        <v>786060</v>
      </c>
      <c r="O13" s="68" t="n">
        <f aca="false">M13*10</f>
        <v>1572120</v>
      </c>
      <c r="P13" s="68" t="n">
        <f aca="false">M13*18</f>
        <v>2829816</v>
      </c>
      <c r="Q13" s="67" t="n">
        <v>2.5</v>
      </c>
      <c r="R13" s="68" t="n">
        <f aca="false">E13*Q13*30</f>
        <v>29775</v>
      </c>
      <c r="S13" s="64" t="s">
        <v>295</v>
      </c>
    </row>
    <row r="14" customFormat="false" ht="18" hidden="false" customHeight="true" outlineLevel="0" collapsed="false">
      <c r="A14" s="63" t="n">
        <v>9</v>
      </c>
      <c r="B14" s="64" t="s">
        <v>14</v>
      </c>
      <c r="C14" s="65" t="s">
        <v>378</v>
      </c>
      <c r="D14" s="64" t="s">
        <v>378</v>
      </c>
      <c r="E14" s="66" t="n">
        <v>2445</v>
      </c>
      <c r="F14" s="64" t="s">
        <v>294</v>
      </c>
      <c r="G14" s="67" t="n">
        <v>564.7</v>
      </c>
      <c r="H14" s="67" t="n">
        <v>484</v>
      </c>
      <c r="I14" s="67" t="n">
        <f aca="false">G14+H14</f>
        <v>1048.7</v>
      </c>
      <c r="J14" s="68" t="n">
        <f aca="false">E14*I14</f>
        <v>2564071.5</v>
      </c>
      <c r="K14" s="67" t="n">
        <v>22</v>
      </c>
      <c r="L14" s="68" t="n">
        <f aca="false">E14*K14*30</f>
        <v>1613700</v>
      </c>
      <c r="M14" s="68" t="n">
        <f aca="false">L14*0.6</f>
        <v>968220</v>
      </c>
      <c r="N14" s="68" t="n">
        <f aca="false">M14*5</f>
        <v>4841100</v>
      </c>
      <c r="O14" s="68" t="n">
        <f aca="false">M14*10</f>
        <v>9682200</v>
      </c>
      <c r="P14" s="68" t="n">
        <f aca="false">M14*18</f>
        <v>17427960</v>
      </c>
      <c r="Q14" s="67" t="n">
        <v>2.5</v>
      </c>
      <c r="R14" s="68" t="n">
        <f aca="false">E14*Q14*30</f>
        <v>183375</v>
      </c>
      <c r="S14" s="64" t="s">
        <v>295</v>
      </c>
    </row>
    <row r="15" customFormat="false" ht="18" hidden="false" customHeight="true" outlineLevel="0" collapsed="false">
      <c r="A15" s="63" t="n">
        <v>10</v>
      </c>
      <c r="B15" s="64" t="s">
        <v>14</v>
      </c>
      <c r="C15" s="65" t="s">
        <v>379</v>
      </c>
      <c r="D15" s="64" t="s">
        <v>379</v>
      </c>
      <c r="E15" s="66" t="n">
        <v>1485</v>
      </c>
      <c r="F15" s="64" t="s">
        <v>294</v>
      </c>
      <c r="G15" s="67" t="n">
        <v>564.7</v>
      </c>
      <c r="H15" s="67" t="n">
        <v>484</v>
      </c>
      <c r="I15" s="67" t="n">
        <f aca="false">G15+H15</f>
        <v>1048.7</v>
      </c>
      <c r="J15" s="68" t="n">
        <f aca="false">E15*I15</f>
        <v>1557319.5</v>
      </c>
      <c r="K15" s="67" t="n">
        <v>22</v>
      </c>
      <c r="L15" s="68" t="n">
        <f aca="false">E15*K15*30</f>
        <v>980100</v>
      </c>
      <c r="M15" s="68" t="n">
        <f aca="false">L15*0.6</f>
        <v>588060</v>
      </c>
      <c r="N15" s="68" t="n">
        <f aca="false">M15*5</f>
        <v>2940300</v>
      </c>
      <c r="O15" s="68" t="n">
        <f aca="false">M15*10</f>
        <v>5880600</v>
      </c>
      <c r="P15" s="68" t="n">
        <f aca="false">M15*18</f>
        <v>10585080</v>
      </c>
      <c r="Q15" s="67" t="n">
        <v>2.5</v>
      </c>
      <c r="R15" s="68" t="n">
        <f aca="false">E15*Q15*30</f>
        <v>111375</v>
      </c>
      <c r="S15" s="64" t="s">
        <v>295</v>
      </c>
    </row>
    <row r="16" customFormat="false" ht="18" hidden="false" customHeight="true" outlineLevel="0" collapsed="false">
      <c r="A16" s="63" t="n">
        <v>11</v>
      </c>
      <c r="B16" s="64" t="s">
        <v>14</v>
      </c>
      <c r="C16" s="65" t="s">
        <v>380</v>
      </c>
      <c r="D16" s="64" t="s">
        <v>380</v>
      </c>
      <c r="E16" s="66" t="n">
        <v>1574</v>
      </c>
      <c r="F16" s="64" t="s">
        <v>294</v>
      </c>
      <c r="G16" s="67" t="n">
        <v>564.7</v>
      </c>
      <c r="H16" s="67" t="n">
        <v>484</v>
      </c>
      <c r="I16" s="67" t="n">
        <f aca="false">G16+H16</f>
        <v>1048.7</v>
      </c>
      <c r="J16" s="68" t="n">
        <f aca="false">E16*I16</f>
        <v>1650653.8</v>
      </c>
      <c r="K16" s="67" t="n">
        <v>22</v>
      </c>
      <c r="L16" s="68" t="n">
        <f aca="false">E16*K16*30</f>
        <v>1038840</v>
      </c>
      <c r="M16" s="68" t="n">
        <f aca="false">L16*0.6</f>
        <v>623304</v>
      </c>
      <c r="N16" s="68" t="n">
        <f aca="false">M16*5</f>
        <v>3116520</v>
      </c>
      <c r="O16" s="68" t="n">
        <f aca="false">M16*10</f>
        <v>6233040</v>
      </c>
      <c r="P16" s="68" t="n">
        <f aca="false">M16*18</f>
        <v>11219472</v>
      </c>
      <c r="Q16" s="67" t="n">
        <v>2.5</v>
      </c>
      <c r="R16" s="68" t="n">
        <f aca="false">E16*Q16*30</f>
        <v>118050</v>
      </c>
      <c r="S16" s="64" t="s">
        <v>295</v>
      </c>
    </row>
    <row r="17" customFormat="false" ht="18" hidden="false" customHeight="true" outlineLevel="0" collapsed="false">
      <c r="A17" s="63" t="n">
        <v>12</v>
      </c>
      <c r="B17" s="64" t="s">
        <v>14</v>
      </c>
      <c r="C17" s="65" t="s">
        <v>381</v>
      </c>
      <c r="D17" s="64" t="s">
        <v>381</v>
      </c>
      <c r="E17" s="66" t="n">
        <v>998</v>
      </c>
      <c r="F17" s="64" t="s">
        <v>294</v>
      </c>
      <c r="G17" s="67" t="n">
        <v>564.7</v>
      </c>
      <c r="H17" s="67" t="n">
        <v>484</v>
      </c>
      <c r="I17" s="67" t="n">
        <f aca="false">G17+H17</f>
        <v>1048.7</v>
      </c>
      <c r="J17" s="68" t="n">
        <f aca="false">E17*I17</f>
        <v>1046602.6</v>
      </c>
      <c r="K17" s="67" t="n">
        <v>22</v>
      </c>
      <c r="L17" s="68" t="n">
        <f aca="false">E17*K17*30</f>
        <v>658680</v>
      </c>
      <c r="M17" s="68" t="n">
        <f aca="false">L17*0.6</f>
        <v>395208</v>
      </c>
      <c r="N17" s="68" t="n">
        <f aca="false">M17*5</f>
        <v>1976040</v>
      </c>
      <c r="O17" s="68" t="n">
        <f aca="false">M17*10</f>
        <v>3952080</v>
      </c>
      <c r="P17" s="68" t="n">
        <f aca="false">M17*18</f>
        <v>7113744</v>
      </c>
      <c r="Q17" s="67" t="n">
        <v>2.5</v>
      </c>
      <c r="R17" s="68" t="n">
        <f aca="false">E17*Q17*30</f>
        <v>74850</v>
      </c>
      <c r="S17" s="64" t="s">
        <v>295</v>
      </c>
    </row>
    <row r="18" customFormat="false" ht="18" hidden="false" customHeight="true" outlineLevel="0" collapsed="false">
      <c r="A18" s="63" t="n">
        <v>13</v>
      </c>
      <c r="B18" s="64" t="s">
        <v>14</v>
      </c>
      <c r="C18" s="65" t="s">
        <v>382</v>
      </c>
      <c r="D18" s="64" t="s">
        <v>382</v>
      </c>
      <c r="E18" s="66" t="n">
        <v>419</v>
      </c>
      <c r="F18" s="64" t="s">
        <v>294</v>
      </c>
      <c r="G18" s="67" t="n">
        <v>564.7</v>
      </c>
      <c r="H18" s="67" t="n">
        <v>484</v>
      </c>
      <c r="I18" s="67" t="n">
        <f aca="false">G18+H18</f>
        <v>1048.7</v>
      </c>
      <c r="J18" s="68" t="n">
        <f aca="false">E18*I18</f>
        <v>439405.3</v>
      </c>
      <c r="K18" s="67" t="n">
        <v>22</v>
      </c>
      <c r="L18" s="68" t="n">
        <f aca="false">E18*K18*30</f>
        <v>276540</v>
      </c>
      <c r="M18" s="68" t="n">
        <f aca="false">L18*0.6</f>
        <v>165924</v>
      </c>
      <c r="N18" s="68" t="n">
        <f aca="false">M18*5</f>
        <v>829620</v>
      </c>
      <c r="O18" s="68" t="n">
        <f aca="false">M18*10</f>
        <v>1659240</v>
      </c>
      <c r="P18" s="68" t="n">
        <f aca="false">M18*18</f>
        <v>2986632</v>
      </c>
      <c r="Q18" s="67" t="n">
        <v>2.5</v>
      </c>
      <c r="R18" s="68" t="n">
        <f aca="false">E18*Q18*30</f>
        <v>31425</v>
      </c>
      <c r="S18" s="64" t="s">
        <v>295</v>
      </c>
    </row>
    <row r="19" customFormat="false" ht="18" hidden="false" customHeight="true" outlineLevel="0" collapsed="false">
      <c r="A19" s="63" t="n">
        <v>14</v>
      </c>
      <c r="B19" s="64" t="s">
        <v>14</v>
      </c>
      <c r="C19" s="65" t="s">
        <v>383</v>
      </c>
      <c r="D19" s="64" t="s">
        <v>383</v>
      </c>
      <c r="E19" s="66" t="n">
        <v>896</v>
      </c>
      <c r="F19" s="64" t="s">
        <v>294</v>
      </c>
      <c r="G19" s="67" t="n">
        <v>564.7</v>
      </c>
      <c r="H19" s="67" t="n">
        <v>484</v>
      </c>
      <c r="I19" s="67" t="n">
        <f aca="false">G19+H19</f>
        <v>1048.7</v>
      </c>
      <c r="J19" s="68" t="n">
        <f aca="false">E19*I19</f>
        <v>939635.2</v>
      </c>
      <c r="K19" s="67" t="n">
        <v>22</v>
      </c>
      <c r="L19" s="68" t="n">
        <f aca="false">E19*K19*30</f>
        <v>591360</v>
      </c>
      <c r="M19" s="68" t="n">
        <f aca="false">L19*0.6</f>
        <v>354816</v>
      </c>
      <c r="N19" s="68" t="n">
        <f aca="false">M19*5</f>
        <v>1774080</v>
      </c>
      <c r="O19" s="68" t="n">
        <f aca="false">M19*10</f>
        <v>3548160</v>
      </c>
      <c r="P19" s="68" t="n">
        <f aca="false">M19*18</f>
        <v>6386688</v>
      </c>
      <c r="Q19" s="67" t="n">
        <v>2.5</v>
      </c>
      <c r="R19" s="68" t="n">
        <f aca="false">E19*Q19*30</f>
        <v>67200</v>
      </c>
      <c r="S19" s="64" t="s">
        <v>295</v>
      </c>
    </row>
    <row r="20" customFormat="false" ht="18" hidden="false" customHeight="true" outlineLevel="0" collapsed="false">
      <c r="A20" s="63" t="n">
        <v>15</v>
      </c>
      <c r="B20" s="64" t="s">
        <v>14</v>
      </c>
      <c r="C20" s="65" t="s">
        <v>384</v>
      </c>
      <c r="D20" s="64" t="s">
        <v>384</v>
      </c>
      <c r="E20" s="66" t="n">
        <v>845</v>
      </c>
      <c r="F20" s="64" t="s">
        <v>294</v>
      </c>
      <c r="G20" s="67" t="n">
        <v>564.7</v>
      </c>
      <c r="H20" s="67" t="n">
        <v>484</v>
      </c>
      <c r="I20" s="67" t="n">
        <f aca="false">G20+H20</f>
        <v>1048.7</v>
      </c>
      <c r="J20" s="68" t="n">
        <f aca="false">E20*I20</f>
        <v>886151.5</v>
      </c>
      <c r="K20" s="67" t="n">
        <v>22</v>
      </c>
      <c r="L20" s="68" t="n">
        <f aca="false">E20*K20*30</f>
        <v>557700</v>
      </c>
      <c r="M20" s="68" t="n">
        <f aca="false">L20*0.6</f>
        <v>334620</v>
      </c>
      <c r="N20" s="68" t="n">
        <f aca="false">M20*5</f>
        <v>1673100</v>
      </c>
      <c r="O20" s="68" t="n">
        <f aca="false">M20*10</f>
        <v>3346200</v>
      </c>
      <c r="P20" s="68" t="n">
        <f aca="false">M20*18</f>
        <v>6023160</v>
      </c>
      <c r="Q20" s="67" t="n">
        <v>2.5</v>
      </c>
      <c r="R20" s="68" t="n">
        <f aca="false">E20*Q20*30</f>
        <v>63375</v>
      </c>
      <c r="S20" s="64" t="s">
        <v>295</v>
      </c>
    </row>
    <row r="21" customFormat="false" ht="18" hidden="false" customHeight="true" outlineLevel="0" collapsed="false">
      <c r="A21" s="63" t="n">
        <v>16</v>
      </c>
      <c r="B21" s="64" t="s">
        <v>221</v>
      </c>
      <c r="C21" s="65" t="s">
        <v>385</v>
      </c>
      <c r="D21" s="64" t="s">
        <v>385</v>
      </c>
      <c r="E21" s="66" t="n">
        <v>3046</v>
      </c>
      <c r="F21" s="64" t="s">
        <v>294</v>
      </c>
      <c r="G21" s="67" t="n">
        <v>564.7</v>
      </c>
      <c r="H21" s="67" t="n">
        <v>484</v>
      </c>
      <c r="I21" s="67" t="n">
        <f aca="false">G21+H21</f>
        <v>1048.7</v>
      </c>
      <c r="J21" s="68" t="n">
        <f aca="false">E21*I21</f>
        <v>3194340.2</v>
      </c>
      <c r="K21" s="67" t="n">
        <v>22</v>
      </c>
      <c r="L21" s="68" t="n">
        <f aca="false">E21*K21*30</f>
        <v>2010360</v>
      </c>
      <c r="M21" s="68" t="n">
        <f aca="false">L21*0.6</f>
        <v>1206216</v>
      </c>
      <c r="N21" s="68" t="n">
        <f aca="false">M21*5</f>
        <v>6031080</v>
      </c>
      <c r="O21" s="68" t="n">
        <f aca="false">M21*10</f>
        <v>12062160</v>
      </c>
      <c r="P21" s="68" t="n">
        <f aca="false">M21*18</f>
        <v>21711888</v>
      </c>
      <c r="Q21" s="67" t="n">
        <v>2.5</v>
      </c>
      <c r="R21" s="68" t="n">
        <f aca="false">E21*Q21*30</f>
        <v>228450</v>
      </c>
      <c r="S21" s="64" t="s">
        <v>295</v>
      </c>
    </row>
    <row r="22" customFormat="false" ht="19.5" hidden="false" customHeight="true" outlineLevel="0" collapsed="false">
      <c r="A22" s="58" t="s">
        <v>386</v>
      </c>
      <c r="B22" s="58"/>
      <c r="C22" s="58"/>
      <c r="D22" s="58"/>
      <c r="E22" s="59" t="n">
        <f aca="false">SUM(E6:E21)</f>
        <v>24721</v>
      </c>
      <c r="F22" s="59" t="n">
        <f aca="false">SUM(F6:F21)</f>
        <v>0</v>
      </c>
      <c r="G22" s="60" t="n">
        <f aca="false">SUM(G6:G21)</f>
        <v>9035.2</v>
      </c>
      <c r="H22" s="60" t="n">
        <f aca="false">SUM(H6:H21)</f>
        <v>7744</v>
      </c>
      <c r="I22" s="60" t="n">
        <f aca="false">SUM(I6:I21)</f>
        <v>16779.2</v>
      </c>
      <c r="J22" s="61" t="n">
        <f aca="false">SUM(J6:J21)</f>
        <v>25924912.7</v>
      </c>
      <c r="K22" s="60" t="n">
        <f aca="false">SUM(K6:K21)</f>
        <v>352</v>
      </c>
      <c r="L22" s="61" t="n">
        <f aca="false">SUM(L6:L21)</f>
        <v>16315860</v>
      </c>
      <c r="M22" s="61" t="n">
        <f aca="false">SUM(M6:M21)</f>
        <v>9789516</v>
      </c>
      <c r="N22" s="61" t="n">
        <f aca="false">SUM(N6:N21)</f>
        <v>48947580</v>
      </c>
      <c r="O22" s="61" t="n">
        <f aca="false">SUM(O6:O21)</f>
        <v>97895160</v>
      </c>
      <c r="P22" s="61" t="n">
        <f aca="false">SUM(P6:P21)</f>
        <v>176211288</v>
      </c>
      <c r="Q22" s="60" t="n">
        <f aca="false">SUM(Q6:Q21)</f>
        <v>40</v>
      </c>
      <c r="R22" s="61" t="n">
        <f aca="false">SUM(R6:R21)</f>
        <v>1854075</v>
      </c>
      <c r="S22" s="62"/>
    </row>
  </sheetData>
  <mergeCells count="4">
    <mergeCell ref="A1:S1"/>
    <mergeCell ref="A2:S2"/>
    <mergeCell ref="A3:S3"/>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P9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O6" activeCellId="0" sqref="O6"/>
    </sheetView>
  </sheetViews>
  <sheetFormatPr defaultColWidth="8.71484375" defaultRowHeight="15" zeroHeight="false" outlineLevelRow="0" outlineLevelCol="0"/>
  <cols>
    <col collapsed="false" customWidth="true" hidden="false" outlineLevel="0" max="1" min="1" style="0" width="3.42"/>
    <col collapsed="false" customWidth="true" hidden="false" outlineLevel="0" max="2" min="2" style="0" width="9.71"/>
    <col collapsed="false" customWidth="true" hidden="false" outlineLevel="0" max="3" min="3" style="0" width="6.43"/>
    <col collapsed="false" customWidth="true" hidden="false" outlineLevel="0" max="4" min="4" style="0" width="44.85"/>
    <col collapsed="false" customWidth="true" hidden="false" outlineLevel="0" max="5" min="5" style="0" width="10"/>
    <col collapsed="false" customWidth="true" hidden="false" outlineLevel="0" max="6" min="6" style="0" width="10.14"/>
    <col collapsed="false" customWidth="true" hidden="false" outlineLevel="0" max="7" min="7" style="0" width="9"/>
    <col collapsed="false" customWidth="true" hidden="false" outlineLevel="0" max="8" min="8" style="0" width="8"/>
    <col collapsed="false" customWidth="true" hidden="false" outlineLevel="0" max="9" min="9" style="0" width="10.14"/>
    <col collapsed="false" customWidth="true" hidden="false" outlineLevel="0" max="10" min="10" style="0" width="7.42"/>
    <col collapsed="false" customWidth="true" hidden="false" outlineLevel="0" max="11" min="11" style="0" width="11.14"/>
    <col collapsed="false" customWidth="true" hidden="false" outlineLevel="0" max="12" min="12" style="0" width="10.57"/>
    <col collapsed="false" customWidth="true" hidden="false" outlineLevel="0" max="13" min="13" style="0" width="8.29"/>
    <col collapsed="false" customWidth="true" hidden="false" outlineLevel="0" max="14" min="14" style="0" width="8"/>
    <col collapsed="false" customWidth="true" hidden="false" outlineLevel="0" max="15" min="15" style="0" width="14.42"/>
    <col collapsed="false" customWidth="true" hidden="false" outlineLevel="0" max="16" min="16" style="0" width="38.57"/>
  </cols>
  <sheetData>
    <row r="1" customFormat="false" ht="27.75" hidden="false" customHeight="true" outlineLevel="0" collapsed="false">
      <c r="A1" s="69" t="s">
        <v>387</v>
      </c>
      <c r="B1" s="69"/>
      <c r="C1" s="69"/>
      <c r="D1" s="69"/>
      <c r="E1" s="69"/>
      <c r="F1" s="69"/>
      <c r="G1" s="69"/>
      <c r="H1" s="69"/>
      <c r="I1" s="69"/>
      <c r="J1" s="69"/>
      <c r="K1" s="69"/>
      <c r="L1" s="69"/>
      <c r="M1" s="69"/>
      <c r="N1" s="69"/>
      <c r="O1" s="69"/>
      <c r="P1" s="69"/>
    </row>
    <row r="2" customFormat="false" ht="15" hidden="false" customHeight="true" outlineLevel="0" collapsed="false">
      <c r="A2" s="70" t="s">
        <v>388</v>
      </c>
      <c r="B2" s="70"/>
      <c r="C2" s="70"/>
      <c r="D2" s="70"/>
      <c r="E2" s="70"/>
      <c r="F2" s="70"/>
      <c r="G2" s="70"/>
      <c r="H2" s="70"/>
      <c r="I2" s="70"/>
      <c r="J2" s="70"/>
      <c r="K2" s="70"/>
      <c r="L2" s="70"/>
      <c r="M2" s="70"/>
      <c r="N2" s="70"/>
      <c r="O2" s="70"/>
      <c r="P2" s="70"/>
    </row>
    <row r="3" customFormat="false" ht="15" hidden="false" customHeight="true" outlineLevel="0" collapsed="false">
      <c r="A3" s="71" t="s">
        <v>389</v>
      </c>
      <c r="B3" s="71"/>
      <c r="C3" s="71"/>
      <c r="D3" s="71"/>
      <c r="E3" s="71"/>
      <c r="F3" s="71"/>
      <c r="G3" s="71"/>
      <c r="H3" s="71"/>
      <c r="I3" s="71"/>
      <c r="J3" s="71"/>
      <c r="K3" s="71"/>
      <c r="L3" s="71"/>
      <c r="M3" s="71"/>
      <c r="N3" s="71"/>
      <c r="O3" s="71"/>
      <c r="P3" s="71"/>
    </row>
    <row r="5" s="51" customFormat="true" ht="48" hidden="false" customHeight="true" outlineLevel="0" collapsed="false">
      <c r="A5" s="72" t="s">
        <v>203</v>
      </c>
      <c r="B5" s="72" t="s">
        <v>3</v>
      </c>
      <c r="C5" s="72" t="s">
        <v>204</v>
      </c>
      <c r="D5" s="72" t="s">
        <v>205</v>
      </c>
      <c r="E5" s="72" t="s">
        <v>390</v>
      </c>
      <c r="F5" s="72" t="s">
        <v>208</v>
      </c>
      <c r="G5" s="72" t="s">
        <v>391</v>
      </c>
      <c r="H5" s="72" t="s">
        <v>392</v>
      </c>
      <c r="I5" s="72" t="s">
        <v>393</v>
      </c>
      <c r="J5" s="72" t="s">
        <v>394</v>
      </c>
      <c r="K5" s="72" t="s">
        <v>395</v>
      </c>
      <c r="L5" s="72" t="s">
        <v>396</v>
      </c>
      <c r="M5" s="72" t="s">
        <v>397</v>
      </c>
      <c r="N5" s="72" t="s">
        <v>398</v>
      </c>
      <c r="O5" s="72" t="s">
        <v>399</v>
      </c>
      <c r="P5" s="72" t="s">
        <v>41</v>
      </c>
    </row>
    <row r="6" customFormat="false" ht="15.75" hidden="false" customHeight="true" outlineLevel="0" collapsed="false">
      <c r="A6" s="73" t="n">
        <v>1</v>
      </c>
      <c r="B6" s="74" t="s">
        <v>11</v>
      </c>
      <c r="C6" s="74" t="s">
        <v>221</v>
      </c>
      <c r="D6" s="74" t="s">
        <v>222</v>
      </c>
      <c r="E6" s="75" t="n">
        <v>2925</v>
      </c>
      <c r="F6" s="74" t="s">
        <v>224</v>
      </c>
      <c r="G6" s="75" t="n">
        <v>351000</v>
      </c>
      <c r="H6" s="75" t="n">
        <v>1462.5</v>
      </c>
      <c r="I6" s="75" t="n">
        <v>23400</v>
      </c>
      <c r="J6" s="75" t="n">
        <v>8775</v>
      </c>
      <c r="K6" s="75" t="n">
        <v>43875</v>
      </c>
      <c r="L6" s="75" t="n">
        <v>0</v>
      </c>
      <c r="M6" s="75" t="n">
        <v>0</v>
      </c>
      <c r="N6" s="75" t="n">
        <v>0</v>
      </c>
      <c r="O6" s="76" t="n">
        <f aca="false">G6*8000+H6*2500000+I6*120000+J6*450000+K6*15000+L6*3000+M6*18000+N6*35000</f>
        <v>13879125000</v>
      </c>
      <c r="P6" s="74" t="s">
        <v>400</v>
      </c>
    </row>
    <row r="7" customFormat="false" ht="15.75" hidden="false" customHeight="true" outlineLevel="0" collapsed="false">
      <c r="A7" s="73" t="n">
        <v>2</v>
      </c>
      <c r="B7" s="74" t="s">
        <v>11</v>
      </c>
      <c r="C7" s="74" t="s">
        <v>221</v>
      </c>
      <c r="D7" s="74" t="s">
        <v>226</v>
      </c>
      <c r="E7" s="75" t="n">
        <v>460</v>
      </c>
      <c r="F7" s="74" t="s">
        <v>224</v>
      </c>
      <c r="G7" s="75" t="n">
        <v>55200</v>
      </c>
      <c r="H7" s="75" t="n">
        <v>230</v>
      </c>
      <c r="I7" s="75" t="n">
        <v>3680</v>
      </c>
      <c r="J7" s="75" t="n">
        <v>1380</v>
      </c>
      <c r="K7" s="75" t="n">
        <v>6900</v>
      </c>
      <c r="L7" s="75" t="n">
        <v>0</v>
      </c>
      <c r="M7" s="75" t="n">
        <v>0</v>
      </c>
      <c r="N7" s="75" t="n">
        <v>0</v>
      </c>
      <c r="O7" s="76" t="n">
        <f aca="false">G7*8000+H7*2500000+I7*120000+J7*450000+K7*15000+L7*3000+M7*18000+N7*35000</f>
        <v>2182700000</v>
      </c>
      <c r="P7" s="74" t="s">
        <v>400</v>
      </c>
    </row>
    <row r="8" customFormat="false" ht="15.75" hidden="false" customHeight="true" outlineLevel="0" collapsed="false">
      <c r="A8" s="73" t="n">
        <v>3</v>
      </c>
      <c r="B8" s="74" t="s">
        <v>11</v>
      </c>
      <c r="C8" s="74" t="s">
        <v>14</v>
      </c>
      <c r="D8" s="74" t="s">
        <v>228</v>
      </c>
      <c r="E8" s="75" t="n">
        <v>608</v>
      </c>
      <c r="F8" s="74" t="s">
        <v>224</v>
      </c>
      <c r="G8" s="75" t="n">
        <v>72960</v>
      </c>
      <c r="H8" s="75" t="n">
        <v>304</v>
      </c>
      <c r="I8" s="75" t="n">
        <v>4864</v>
      </c>
      <c r="J8" s="75" t="n">
        <v>1824</v>
      </c>
      <c r="K8" s="75" t="n">
        <v>9120</v>
      </c>
      <c r="L8" s="75" t="n">
        <v>0</v>
      </c>
      <c r="M8" s="75" t="n">
        <v>0</v>
      </c>
      <c r="N8" s="75" t="n">
        <v>0</v>
      </c>
      <c r="O8" s="76" t="n">
        <f aca="false">G8*8000+H8*2500000+I8*120000+J8*450000+K8*15000+L8*3000+M8*18000+N8*35000</f>
        <v>2884960000</v>
      </c>
      <c r="P8" s="74" t="s">
        <v>400</v>
      </c>
    </row>
    <row r="9" customFormat="false" ht="15.75" hidden="false" customHeight="true" outlineLevel="0" collapsed="false">
      <c r="A9" s="73" t="n">
        <v>4</v>
      </c>
      <c r="B9" s="74" t="s">
        <v>11</v>
      </c>
      <c r="C9" s="74" t="s">
        <v>14</v>
      </c>
      <c r="D9" s="74" t="s">
        <v>229</v>
      </c>
      <c r="E9" s="75" t="n">
        <v>440</v>
      </c>
      <c r="F9" s="74" t="s">
        <v>224</v>
      </c>
      <c r="G9" s="75" t="n">
        <v>52800</v>
      </c>
      <c r="H9" s="75" t="n">
        <v>220</v>
      </c>
      <c r="I9" s="75" t="n">
        <v>3520</v>
      </c>
      <c r="J9" s="75" t="n">
        <v>1320</v>
      </c>
      <c r="K9" s="75" t="n">
        <v>6600</v>
      </c>
      <c r="L9" s="75" t="n">
        <v>0</v>
      </c>
      <c r="M9" s="75" t="n">
        <v>0</v>
      </c>
      <c r="N9" s="75" t="n">
        <v>0</v>
      </c>
      <c r="O9" s="76" t="n">
        <f aca="false">G9*8000+H9*2500000+I9*120000+J9*450000+K9*15000+L9*3000+M9*18000+N9*35000</f>
        <v>2087800000</v>
      </c>
      <c r="P9" s="74" t="s">
        <v>400</v>
      </c>
    </row>
    <row r="10" customFormat="false" ht="15.75" hidden="false" customHeight="true" outlineLevel="0" collapsed="false">
      <c r="A10" s="73" t="n">
        <v>5</v>
      </c>
      <c r="B10" s="74" t="s">
        <v>11</v>
      </c>
      <c r="C10" s="74" t="s">
        <v>14</v>
      </c>
      <c r="D10" s="74" t="s">
        <v>230</v>
      </c>
      <c r="E10" s="75" t="n">
        <v>865</v>
      </c>
      <c r="F10" s="74" t="s">
        <v>224</v>
      </c>
      <c r="G10" s="75" t="n">
        <v>103800</v>
      </c>
      <c r="H10" s="75" t="n">
        <v>432.5</v>
      </c>
      <c r="I10" s="75" t="n">
        <v>6920</v>
      </c>
      <c r="J10" s="75" t="n">
        <v>2595</v>
      </c>
      <c r="K10" s="75" t="n">
        <v>12975</v>
      </c>
      <c r="L10" s="75" t="n">
        <v>0</v>
      </c>
      <c r="M10" s="75" t="n">
        <v>0</v>
      </c>
      <c r="N10" s="75" t="n">
        <v>0</v>
      </c>
      <c r="O10" s="76" t="n">
        <f aca="false">G10*8000+H10*2500000+I10*120000+J10*450000+K10*15000+L10*3000+M10*18000+N10*35000</f>
        <v>4104425000</v>
      </c>
      <c r="P10" s="74" t="s">
        <v>400</v>
      </c>
    </row>
    <row r="11" customFormat="false" ht="15.75" hidden="false" customHeight="true" outlineLevel="0" collapsed="false">
      <c r="A11" s="73" t="n">
        <v>6</v>
      </c>
      <c r="B11" s="74" t="s">
        <v>11</v>
      </c>
      <c r="C11" s="74" t="s">
        <v>14</v>
      </c>
      <c r="D11" s="74" t="s">
        <v>231</v>
      </c>
      <c r="E11" s="75" t="n">
        <v>299</v>
      </c>
      <c r="F11" s="74" t="s">
        <v>224</v>
      </c>
      <c r="G11" s="75" t="n">
        <v>35880</v>
      </c>
      <c r="H11" s="75" t="n">
        <v>149.5</v>
      </c>
      <c r="I11" s="75" t="n">
        <v>2392</v>
      </c>
      <c r="J11" s="75" t="n">
        <v>897</v>
      </c>
      <c r="K11" s="75" t="n">
        <v>4485</v>
      </c>
      <c r="L11" s="75" t="n">
        <v>0</v>
      </c>
      <c r="M11" s="75" t="n">
        <v>0</v>
      </c>
      <c r="N11" s="75" t="n">
        <v>0</v>
      </c>
      <c r="O11" s="76" t="n">
        <f aca="false">G11*8000+H11*2500000+I11*120000+J11*450000+K11*15000+L11*3000+M11*18000+N11*35000</f>
        <v>1418755000</v>
      </c>
      <c r="P11" s="74" t="s">
        <v>400</v>
      </c>
    </row>
    <row r="12" customFormat="false" ht="15.75" hidden="false" customHeight="true" outlineLevel="0" collapsed="false">
      <c r="A12" s="73" t="n">
        <v>7</v>
      </c>
      <c r="B12" s="74" t="s">
        <v>11</v>
      </c>
      <c r="C12" s="74" t="s">
        <v>14</v>
      </c>
      <c r="D12" s="74" t="s">
        <v>232</v>
      </c>
      <c r="E12" s="75" t="n">
        <v>334</v>
      </c>
      <c r="F12" s="74" t="s">
        <v>224</v>
      </c>
      <c r="G12" s="75" t="n">
        <v>40080</v>
      </c>
      <c r="H12" s="75" t="n">
        <v>167</v>
      </c>
      <c r="I12" s="75" t="n">
        <v>2672</v>
      </c>
      <c r="J12" s="75" t="n">
        <v>1002</v>
      </c>
      <c r="K12" s="75" t="n">
        <v>5010</v>
      </c>
      <c r="L12" s="75" t="n">
        <v>0</v>
      </c>
      <c r="M12" s="75" t="n">
        <v>0</v>
      </c>
      <c r="N12" s="75" t="n">
        <v>0</v>
      </c>
      <c r="O12" s="76" t="n">
        <f aca="false">G12*8000+H12*2500000+I12*120000+J12*450000+K12*15000+L12*3000+M12*18000+N12*35000</f>
        <v>1584830000</v>
      </c>
      <c r="P12" s="74" t="s">
        <v>400</v>
      </c>
    </row>
    <row r="13" customFormat="false" ht="15.75" hidden="false" customHeight="true" outlineLevel="0" collapsed="false">
      <c r="A13" s="73" t="n">
        <v>8</v>
      </c>
      <c r="B13" s="74" t="s">
        <v>11</v>
      </c>
      <c r="C13" s="74" t="s">
        <v>12</v>
      </c>
      <c r="D13" s="74" t="s">
        <v>234</v>
      </c>
      <c r="E13" s="75" t="n">
        <v>1250</v>
      </c>
      <c r="F13" s="74" t="s">
        <v>224</v>
      </c>
      <c r="G13" s="75" t="n">
        <v>150000</v>
      </c>
      <c r="H13" s="75" t="n">
        <v>625</v>
      </c>
      <c r="I13" s="75" t="n">
        <v>10000</v>
      </c>
      <c r="J13" s="75" t="n">
        <v>3750</v>
      </c>
      <c r="K13" s="75" t="n">
        <v>18750</v>
      </c>
      <c r="L13" s="75" t="n">
        <v>0</v>
      </c>
      <c r="M13" s="75" t="n">
        <v>0</v>
      </c>
      <c r="N13" s="75" t="n">
        <v>0</v>
      </c>
      <c r="O13" s="76" t="n">
        <f aca="false">G13*8000+H13*2500000+I13*120000+J13*450000+K13*15000+L13*3000+M13*18000+N13*35000</f>
        <v>5931250000</v>
      </c>
      <c r="P13" s="74" t="s">
        <v>400</v>
      </c>
    </row>
    <row r="14" customFormat="false" ht="15.75" hidden="false" customHeight="true" outlineLevel="0" collapsed="false">
      <c r="A14" s="73" t="n">
        <v>9</v>
      </c>
      <c r="B14" s="74" t="s">
        <v>11</v>
      </c>
      <c r="C14" s="74" t="s">
        <v>12</v>
      </c>
      <c r="D14" s="74" t="s">
        <v>236</v>
      </c>
      <c r="E14" s="75" t="n">
        <v>2956</v>
      </c>
      <c r="F14" s="74" t="s">
        <v>224</v>
      </c>
      <c r="G14" s="75" t="n">
        <v>354720</v>
      </c>
      <c r="H14" s="75" t="n">
        <v>1478</v>
      </c>
      <c r="I14" s="75" t="n">
        <v>23648</v>
      </c>
      <c r="J14" s="75" t="n">
        <v>8868</v>
      </c>
      <c r="K14" s="75" t="n">
        <v>44340</v>
      </c>
      <c r="L14" s="75" t="n">
        <v>0</v>
      </c>
      <c r="M14" s="75" t="n">
        <v>0</v>
      </c>
      <c r="N14" s="75" t="n">
        <v>0</v>
      </c>
      <c r="O14" s="76" t="n">
        <f aca="false">G14*8000+H14*2500000+I14*120000+J14*450000+K14*15000+L14*3000+M14*18000+N14*35000</f>
        <v>14026220000</v>
      </c>
      <c r="P14" s="74" t="s">
        <v>400</v>
      </c>
    </row>
    <row r="15" customFormat="false" ht="15.75" hidden="false" customHeight="true" outlineLevel="0" collapsed="false">
      <c r="A15" s="73" t="n">
        <v>10</v>
      </c>
      <c r="B15" s="74" t="s">
        <v>11</v>
      </c>
      <c r="C15" s="74" t="s">
        <v>12</v>
      </c>
      <c r="D15" s="74" t="s">
        <v>238</v>
      </c>
      <c r="E15" s="75" t="n">
        <v>2872</v>
      </c>
      <c r="F15" s="74" t="s">
        <v>224</v>
      </c>
      <c r="G15" s="75" t="n">
        <v>344640</v>
      </c>
      <c r="H15" s="75" t="n">
        <v>1436</v>
      </c>
      <c r="I15" s="75" t="n">
        <v>22976</v>
      </c>
      <c r="J15" s="75" t="n">
        <v>8616</v>
      </c>
      <c r="K15" s="75" t="n">
        <v>43080</v>
      </c>
      <c r="L15" s="75" t="n">
        <v>0</v>
      </c>
      <c r="M15" s="75" t="n">
        <v>0</v>
      </c>
      <c r="N15" s="75" t="n">
        <v>0</v>
      </c>
      <c r="O15" s="76" t="n">
        <f aca="false">G15*8000+H15*2500000+I15*120000+J15*450000+K15*15000+L15*3000+M15*18000+N15*35000</f>
        <v>13627640000</v>
      </c>
      <c r="P15" s="74" t="s">
        <v>400</v>
      </c>
    </row>
    <row r="16" customFormat="false" ht="15.75" hidden="false" customHeight="true" outlineLevel="0" collapsed="false">
      <c r="A16" s="73" t="n">
        <v>11</v>
      </c>
      <c r="B16" s="74" t="s">
        <v>11</v>
      </c>
      <c r="C16" s="74" t="s">
        <v>12</v>
      </c>
      <c r="D16" s="74" t="s">
        <v>240</v>
      </c>
      <c r="E16" s="75" t="n">
        <v>3123</v>
      </c>
      <c r="F16" s="74" t="s">
        <v>224</v>
      </c>
      <c r="G16" s="75" t="n">
        <v>374760</v>
      </c>
      <c r="H16" s="75" t="n">
        <v>1561.5</v>
      </c>
      <c r="I16" s="75" t="n">
        <v>24984</v>
      </c>
      <c r="J16" s="75" t="n">
        <v>9369</v>
      </c>
      <c r="K16" s="75" t="n">
        <v>46845</v>
      </c>
      <c r="L16" s="75" t="n">
        <v>0</v>
      </c>
      <c r="M16" s="75" t="n">
        <v>0</v>
      </c>
      <c r="N16" s="75" t="n">
        <v>0</v>
      </c>
      <c r="O16" s="76" t="n">
        <f aca="false">G16*8000+H16*2500000+I16*120000+J16*450000+K16*15000+L16*3000+M16*18000+N16*35000</f>
        <v>14818635000</v>
      </c>
      <c r="P16" s="74" t="s">
        <v>400</v>
      </c>
    </row>
    <row r="17" customFormat="false" ht="15.75" hidden="false" customHeight="true" outlineLevel="0" collapsed="false">
      <c r="A17" s="73" t="n">
        <v>12</v>
      </c>
      <c r="B17" s="74" t="s">
        <v>11</v>
      </c>
      <c r="C17" s="74" t="s">
        <v>12</v>
      </c>
      <c r="D17" s="74" t="s">
        <v>242</v>
      </c>
      <c r="E17" s="75" t="n">
        <v>3092</v>
      </c>
      <c r="F17" s="74" t="s">
        <v>224</v>
      </c>
      <c r="G17" s="75" t="n">
        <v>371040</v>
      </c>
      <c r="H17" s="75" t="n">
        <v>1546</v>
      </c>
      <c r="I17" s="75" t="n">
        <v>24736</v>
      </c>
      <c r="J17" s="75" t="n">
        <v>9276</v>
      </c>
      <c r="K17" s="75" t="n">
        <v>46380</v>
      </c>
      <c r="L17" s="75" t="n">
        <v>0</v>
      </c>
      <c r="M17" s="75" t="n">
        <v>0</v>
      </c>
      <c r="N17" s="75" t="n">
        <v>0</v>
      </c>
      <c r="O17" s="76" t="n">
        <f aca="false">G17*8000+H17*2500000+I17*120000+J17*450000+K17*15000+L17*3000+M17*18000+N17*35000</f>
        <v>14671540000</v>
      </c>
      <c r="P17" s="74" t="s">
        <v>400</v>
      </c>
    </row>
    <row r="18" customFormat="false" ht="15.75" hidden="false" customHeight="true" outlineLevel="0" collapsed="false">
      <c r="A18" s="73" t="n">
        <v>13</v>
      </c>
      <c r="B18" s="74" t="s">
        <v>11</v>
      </c>
      <c r="C18" s="74" t="s">
        <v>12</v>
      </c>
      <c r="D18" s="74" t="s">
        <v>244</v>
      </c>
      <c r="E18" s="75" t="n">
        <v>894</v>
      </c>
      <c r="F18" s="74" t="s">
        <v>224</v>
      </c>
      <c r="G18" s="75" t="n">
        <v>107280</v>
      </c>
      <c r="H18" s="75" t="n">
        <v>447</v>
      </c>
      <c r="I18" s="75" t="n">
        <v>7152</v>
      </c>
      <c r="J18" s="75" t="n">
        <v>2682</v>
      </c>
      <c r="K18" s="75" t="n">
        <v>13410</v>
      </c>
      <c r="L18" s="75" t="n">
        <v>0</v>
      </c>
      <c r="M18" s="75" t="n">
        <v>0</v>
      </c>
      <c r="N18" s="75" t="n">
        <v>0</v>
      </c>
      <c r="O18" s="76" t="n">
        <f aca="false">G18*8000+H18*2500000+I18*120000+J18*450000+K18*15000+L18*3000+M18*18000+N18*35000</f>
        <v>4242030000</v>
      </c>
      <c r="P18" s="74" t="s">
        <v>400</v>
      </c>
    </row>
    <row r="19" customFormat="false" ht="15.75" hidden="false" customHeight="true" outlineLevel="0" collapsed="false">
      <c r="A19" s="73" t="n">
        <v>14</v>
      </c>
      <c r="B19" s="74" t="s">
        <v>11</v>
      </c>
      <c r="C19" s="74" t="s">
        <v>14</v>
      </c>
      <c r="D19" s="74" t="s">
        <v>245</v>
      </c>
      <c r="E19" s="75" t="n">
        <v>159</v>
      </c>
      <c r="F19" s="74" t="s">
        <v>224</v>
      </c>
      <c r="G19" s="75" t="n">
        <v>19080</v>
      </c>
      <c r="H19" s="75" t="n">
        <v>79.5</v>
      </c>
      <c r="I19" s="75" t="n">
        <v>1272</v>
      </c>
      <c r="J19" s="75" t="n">
        <v>477</v>
      </c>
      <c r="K19" s="75" t="n">
        <v>2385</v>
      </c>
      <c r="L19" s="75" t="n">
        <v>0</v>
      </c>
      <c r="M19" s="75" t="n">
        <v>0</v>
      </c>
      <c r="N19" s="75" t="n">
        <v>0</v>
      </c>
      <c r="O19" s="76" t="n">
        <f aca="false">G19*8000+H19*2500000+I19*120000+J19*450000+K19*15000+L19*3000+M19*18000+N19*35000</f>
        <v>754455000</v>
      </c>
      <c r="P19" s="74" t="s">
        <v>400</v>
      </c>
    </row>
    <row r="20" customFormat="false" ht="15.75" hidden="false" customHeight="true" outlineLevel="0" collapsed="false">
      <c r="A20" s="73" t="n">
        <v>15</v>
      </c>
      <c r="B20" s="74" t="s">
        <v>11</v>
      </c>
      <c r="C20" s="74" t="s">
        <v>12</v>
      </c>
      <c r="D20" s="74" t="s">
        <v>246</v>
      </c>
      <c r="E20" s="75" t="n">
        <v>2181</v>
      </c>
      <c r="F20" s="74" t="s">
        <v>224</v>
      </c>
      <c r="G20" s="75" t="n">
        <v>261720</v>
      </c>
      <c r="H20" s="75" t="n">
        <v>1090.5</v>
      </c>
      <c r="I20" s="75" t="n">
        <v>17448</v>
      </c>
      <c r="J20" s="75" t="n">
        <v>6543</v>
      </c>
      <c r="K20" s="75" t="n">
        <v>32715</v>
      </c>
      <c r="L20" s="75" t="n">
        <v>0</v>
      </c>
      <c r="M20" s="75" t="n">
        <v>0</v>
      </c>
      <c r="N20" s="75" t="n">
        <v>0</v>
      </c>
      <c r="O20" s="76" t="n">
        <f aca="false">G20*8000+H20*2500000+I20*120000+J20*450000+K20*15000+L20*3000+M20*18000+N20*35000</f>
        <v>10348845000</v>
      </c>
      <c r="P20" s="74" t="s">
        <v>400</v>
      </c>
    </row>
    <row r="21" customFormat="false" ht="15.75" hidden="false" customHeight="true" outlineLevel="0" collapsed="false">
      <c r="A21" s="73" t="n">
        <v>16</v>
      </c>
      <c r="B21" s="74" t="s">
        <v>11</v>
      </c>
      <c r="C21" s="74" t="s">
        <v>14</v>
      </c>
      <c r="D21" s="74" t="s">
        <v>248</v>
      </c>
      <c r="E21" s="75" t="n">
        <v>1750</v>
      </c>
      <c r="F21" s="74" t="s">
        <v>224</v>
      </c>
      <c r="G21" s="75" t="n">
        <v>210000</v>
      </c>
      <c r="H21" s="75" t="n">
        <v>875</v>
      </c>
      <c r="I21" s="75" t="n">
        <v>14000</v>
      </c>
      <c r="J21" s="75" t="n">
        <v>5250</v>
      </c>
      <c r="K21" s="75" t="n">
        <v>26250</v>
      </c>
      <c r="L21" s="75" t="n">
        <v>0</v>
      </c>
      <c r="M21" s="75" t="n">
        <v>0</v>
      </c>
      <c r="N21" s="75" t="n">
        <v>0</v>
      </c>
      <c r="O21" s="76" t="n">
        <f aca="false">G21*8000+H21*2500000+I21*120000+J21*450000+K21*15000+L21*3000+M21*18000+N21*35000</f>
        <v>8303750000</v>
      </c>
      <c r="P21" s="74" t="s">
        <v>400</v>
      </c>
    </row>
    <row r="22" customFormat="false" ht="15.75" hidden="false" customHeight="true" outlineLevel="0" collapsed="false">
      <c r="A22" s="73" t="n">
        <v>17</v>
      </c>
      <c r="B22" s="74" t="s">
        <v>11</v>
      </c>
      <c r="C22" s="74" t="s">
        <v>12</v>
      </c>
      <c r="D22" s="74" t="s">
        <v>249</v>
      </c>
      <c r="E22" s="75" t="n">
        <v>5110</v>
      </c>
      <c r="F22" s="74" t="s">
        <v>224</v>
      </c>
      <c r="G22" s="75" t="n">
        <v>613200</v>
      </c>
      <c r="H22" s="75" t="n">
        <v>2555</v>
      </c>
      <c r="I22" s="75" t="n">
        <v>40880</v>
      </c>
      <c r="J22" s="75" t="n">
        <v>15330</v>
      </c>
      <c r="K22" s="75" t="n">
        <v>76650</v>
      </c>
      <c r="L22" s="75" t="n">
        <v>0</v>
      </c>
      <c r="M22" s="75" t="n">
        <v>0</v>
      </c>
      <c r="N22" s="75" t="n">
        <v>0</v>
      </c>
      <c r="O22" s="76" t="n">
        <f aca="false">G22*8000+H22*2500000+I22*120000+J22*450000+K22*15000+L22*3000+M22*18000+N22*35000</f>
        <v>24246950000</v>
      </c>
      <c r="P22" s="74" t="s">
        <v>400</v>
      </c>
    </row>
    <row r="23" customFormat="false" ht="15.75" hidden="false" customHeight="true" outlineLevel="0" collapsed="false">
      <c r="A23" s="73" t="n">
        <v>18</v>
      </c>
      <c r="B23" s="74" t="s">
        <v>11</v>
      </c>
      <c r="C23" s="74" t="s">
        <v>221</v>
      </c>
      <c r="D23" s="74" t="s">
        <v>251</v>
      </c>
      <c r="E23" s="75" t="n">
        <v>177</v>
      </c>
      <c r="F23" s="74" t="s">
        <v>224</v>
      </c>
      <c r="G23" s="75" t="n">
        <v>21240</v>
      </c>
      <c r="H23" s="75" t="n">
        <v>88.5</v>
      </c>
      <c r="I23" s="75" t="n">
        <v>1416</v>
      </c>
      <c r="J23" s="75" t="n">
        <v>531</v>
      </c>
      <c r="K23" s="75" t="n">
        <v>2655</v>
      </c>
      <c r="L23" s="75" t="n">
        <v>0</v>
      </c>
      <c r="M23" s="75" t="n">
        <v>0</v>
      </c>
      <c r="N23" s="75" t="n">
        <v>0</v>
      </c>
      <c r="O23" s="76" t="n">
        <f aca="false">G23*8000+H23*2500000+I23*120000+J23*450000+K23*15000+L23*3000+M23*18000+N23*35000</f>
        <v>839865000</v>
      </c>
      <c r="P23" s="74" t="s">
        <v>400</v>
      </c>
    </row>
    <row r="24" customFormat="false" ht="15.75" hidden="false" customHeight="true" outlineLevel="0" collapsed="false">
      <c r="A24" s="73" t="n">
        <v>19</v>
      </c>
      <c r="B24" s="74" t="s">
        <v>11</v>
      </c>
      <c r="C24" s="74" t="s">
        <v>12</v>
      </c>
      <c r="D24" s="74" t="s">
        <v>253</v>
      </c>
      <c r="E24" s="75" t="n">
        <v>996</v>
      </c>
      <c r="F24" s="74" t="s">
        <v>224</v>
      </c>
      <c r="G24" s="75" t="n">
        <v>119520</v>
      </c>
      <c r="H24" s="75" t="n">
        <v>498</v>
      </c>
      <c r="I24" s="75" t="n">
        <v>7968</v>
      </c>
      <c r="J24" s="75" t="n">
        <v>2988</v>
      </c>
      <c r="K24" s="75" t="n">
        <v>14940</v>
      </c>
      <c r="L24" s="75" t="n">
        <v>0</v>
      </c>
      <c r="M24" s="75" t="n">
        <v>0</v>
      </c>
      <c r="N24" s="75" t="n">
        <v>0</v>
      </c>
      <c r="O24" s="76" t="n">
        <f aca="false">G24*8000+H24*2500000+I24*120000+J24*450000+K24*15000+L24*3000+M24*18000+N24*35000</f>
        <v>4726020000</v>
      </c>
      <c r="P24" s="74" t="s">
        <v>400</v>
      </c>
    </row>
    <row r="25" customFormat="false" ht="15.75" hidden="false" customHeight="true" outlineLevel="0" collapsed="false">
      <c r="A25" s="73" t="n">
        <v>20</v>
      </c>
      <c r="B25" s="74" t="s">
        <v>11</v>
      </c>
      <c r="C25" s="74" t="s">
        <v>255</v>
      </c>
      <c r="D25" s="74" t="s">
        <v>256</v>
      </c>
      <c r="E25" s="75" t="n">
        <v>1466</v>
      </c>
      <c r="F25" s="74" t="s">
        <v>224</v>
      </c>
      <c r="G25" s="75" t="n">
        <v>175920</v>
      </c>
      <c r="H25" s="75" t="n">
        <v>733</v>
      </c>
      <c r="I25" s="75" t="n">
        <v>11728</v>
      </c>
      <c r="J25" s="75" t="n">
        <v>4398</v>
      </c>
      <c r="K25" s="75" t="n">
        <v>21990</v>
      </c>
      <c r="L25" s="75" t="n">
        <v>0</v>
      </c>
      <c r="M25" s="75" t="n">
        <v>0</v>
      </c>
      <c r="N25" s="75" t="n">
        <v>0</v>
      </c>
      <c r="O25" s="76" t="n">
        <f aca="false">G25*8000+H25*2500000+I25*120000+J25*450000+K25*15000+L25*3000+M25*18000+N25*35000</f>
        <v>6956170000</v>
      </c>
      <c r="P25" s="74" t="s">
        <v>400</v>
      </c>
    </row>
    <row r="26" customFormat="false" ht="15.75" hidden="false" customHeight="true" outlineLevel="0" collapsed="false">
      <c r="A26" s="73" t="n">
        <v>21</v>
      </c>
      <c r="B26" s="74" t="s">
        <v>11</v>
      </c>
      <c r="C26" s="74" t="s">
        <v>12</v>
      </c>
      <c r="D26" s="74" t="s">
        <v>258</v>
      </c>
      <c r="E26" s="75" t="n">
        <v>1046</v>
      </c>
      <c r="F26" s="74" t="s">
        <v>224</v>
      </c>
      <c r="G26" s="75" t="n">
        <v>125520</v>
      </c>
      <c r="H26" s="75" t="n">
        <v>523</v>
      </c>
      <c r="I26" s="75" t="n">
        <v>8368</v>
      </c>
      <c r="J26" s="75" t="n">
        <v>3138</v>
      </c>
      <c r="K26" s="75" t="n">
        <v>15690</v>
      </c>
      <c r="L26" s="75" t="n">
        <v>0</v>
      </c>
      <c r="M26" s="75" t="n">
        <v>0</v>
      </c>
      <c r="N26" s="75" t="n">
        <v>0</v>
      </c>
      <c r="O26" s="76" t="n">
        <f aca="false">G26*8000+H26*2500000+I26*120000+J26*450000+K26*15000+L26*3000+M26*18000+N26*35000</f>
        <v>4963270000</v>
      </c>
      <c r="P26" s="74" t="s">
        <v>400</v>
      </c>
    </row>
    <row r="27" customFormat="false" ht="15.75" hidden="false" customHeight="true" outlineLevel="0" collapsed="false">
      <c r="A27" s="73" t="n">
        <v>22</v>
      </c>
      <c r="B27" s="74" t="s">
        <v>11</v>
      </c>
      <c r="C27" s="74" t="s">
        <v>255</v>
      </c>
      <c r="D27" s="74" t="s">
        <v>259</v>
      </c>
      <c r="E27" s="75" t="n">
        <v>936</v>
      </c>
      <c r="F27" s="74" t="s">
        <v>224</v>
      </c>
      <c r="G27" s="75" t="n">
        <v>112320</v>
      </c>
      <c r="H27" s="75" t="n">
        <v>468</v>
      </c>
      <c r="I27" s="75" t="n">
        <v>7488</v>
      </c>
      <c r="J27" s="75" t="n">
        <v>2808</v>
      </c>
      <c r="K27" s="75" t="n">
        <v>14040</v>
      </c>
      <c r="L27" s="75" t="n">
        <v>0</v>
      </c>
      <c r="M27" s="75" t="n">
        <v>0</v>
      </c>
      <c r="N27" s="75" t="n">
        <v>0</v>
      </c>
      <c r="O27" s="76" t="n">
        <f aca="false">G27*8000+H27*2500000+I27*120000+J27*450000+K27*15000+L27*3000+M27*18000+N27*35000</f>
        <v>4441320000</v>
      </c>
      <c r="P27" s="74" t="s">
        <v>400</v>
      </c>
    </row>
    <row r="28" customFormat="false" ht="15.75" hidden="false" customHeight="true" outlineLevel="0" collapsed="false">
      <c r="A28" s="73" t="n">
        <v>23</v>
      </c>
      <c r="B28" s="74" t="s">
        <v>11</v>
      </c>
      <c r="C28" s="74" t="s">
        <v>12</v>
      </c>
      <c r="D28" s="74" t="s">
        <v>261</v>
      </c>
      <c r="E28" s="75" t="n">
        <v>2012</v>
      </c>
      <c r="F28" s="74" t="s">
        <v>224</v>
      </c>
      <c r="G28" s="75" t="n">
        <v>241440</v>
      </c>
      <c r="H28" s="75" t="n">
        <v>1006</v>
      </c>
      <c r="I28" s="75" t="n">
        <v>16096</v>
      </c>
      <c r="J28" s="75" t="n">
        <v>6036</v>
      </c>
      <c r="K28" s="75" t="n">
        <v>30180</v>
      </c>
      <c r="L28" s="75" t="n">
        <v>0</v>
      </c>
      <c r="M28" s="75" t="n">
        <v>0</v>
      </c>
      <c r="N28" s="75" t="n">
        <v>0</v>
      </c>
      <c r="O28" s="76" t="n">
        <f aca="false">G28*8000+H28*2500000+I28*120000+J28*450000+K28*15000+L28*3000+M28*18000+N28*35000</f>
        <v>9546940000</v>
      </c>
      <c r="P28" s="74" t="s">
        <v>400</v>
      </c>
    </row>
    <row r="29" customFormat="false" ht="15.75" hidden="false" customHeight="true" outlineLevel="0" collapsed="false">
      <c r="A29" s="73" t="n">
        <v>24</v>
      </c>
      <c r="B29" s="74" t="s">
        <v>11</v>
      </c>
      <c r="C29" s="74" t="s">
        <v>12</v>
      </c>
      <c r="D29" s="74" t="s">
        <v>263</v>
      </c>
      <c r="E29" s="75" t="n">
        <v>14224</v>
      </c>
      <c r="F29" s="74" t="s">
        <v>224</v>
      </c>
      <c r="G29" s="75" t="n">
        <v>1706880</v>
      </c>
      <c r="H29" s="75" t="n">
        <v>7112</v>
      </c>
      <c r="I29" s="75" t="n">
        <v>113792</v>
      </c>
      <c r="J29" s="75" t="n">
        <v>42672</v>
      </c>
      <c r="K29" s="75" t="n">
        <v>213360</v>
      </c>
      <c r="L29" s="75" t="n">
        <v>0</v>
      </c>
      <c r="M29" s="75" t="n">
        <v>0</v>
      </c>
      <c r="N29" s="75" t="n">
        <v>0</v>
      </c>
      <c r="O29" s="76" t="n">
        <f aca="false">G29*8000+H29*2500000+I29*120000+J29*450000+K29*15000+L29*3000+M29*18000+N29*35000</f>
        <v>67492880000</v>
      </c>
      <c r="P29" s="74" t="s">
        <v>400</v>
      </c>
    </row>
    <row r="30" customFormat="false" ht="15.75" hidden="false" customHeight="true" outlineLevel="0" collapsed="false">
      <c r="A30" s="73" t="n">
        <v>25</v>
      </c>
      <c r="B30" s="74" t="s">
        <v>11</v>
      </c>
      <c r="C30" s="74" t="s">
        <v>12</v>
      </c>
      <c r="D30" s="74" t="s">
        <v>265</v>
      </c>
      <c r="E30" s="75" t="n">
        <v>7444</v>
      </c>
      <c r="F30" s="74" t="s">
        <v>224</v>
      </c>
      <c r="G30" s="75" t="n">
        <v>893280</v>
      </c>
      <c r="H30" s="75" t="n">
        <v>3722</v>
      </c>
      <c r="I30" s="75" t="n">
        <v>59552</v>
      </c>
      <c r="J30" s="75" t="n">
        <v>22332</v>
      </c>
      <c r="K30" s="75" t="n">
        <v>111660</v>
      </c>
      <c r="L30" s="75" t="n">
        <v>0</v>
      </c>
      <c r="M30" s="75" t="n">
        <v>0</v>
      </c>
      <c r="N30" s="75" t="n">
        <v>0</v>
      </c>
      <c r="O30" s="76" t="n">
        <f aca="false">G30*8000+H30*2500000+I30*120000+J30*450000+K30*15000+L30*3000+M30*18000+N30*35000</f>
        <v>35321780000</v>
      </c>
      <c r="P30" s="74" t="s">
        <v>400</v>
      </c>
    </row>
    <row r="31" customFormat="false" ht="15.75" hidden="false" customHeight="true" outlineLevel="0" collapsed="false">
      <c r="A31" s="73" t="n">
        <v>26</v>
      </c>
      <c r="B31" s="74" t="s">
        <v>11</v>
      </c>
      <c r="C31" s="74" t="s">
        <v>221</v>
      </c>
      <c r="D31" s="74" t="s">
        <v>267</v>
      </c>
      <c r="E31" s="75" t="n">
        <v>1295</v>
      </c>
      <c r="F31" s="74" t="s">
        <v>224</v>
      </c>
      <c r="G31" s="75" t="n">
        <v>155400</v>
      </c>
      <c r="H31" s="75" t="n">
        <v>647.5</v>
      </c>
      <c r="I31" s="75" t="n">
        <v>10360</v>
      </c>
      <c r="J31" s="75" t="n">
        <v>3885</v>
      </c>
      <c r="K31" s="75" t="n">
        <v>19425</v>
      </c>
      <c r="L31" s="75" t="n">
        <v>0</v>
      </c>
      <c r="M31" s="75" t="n">
        <v>0</v>
      </c>
      <c r="N31" s="75" t="n">
        <v>0</v>
      </c>
      <c r="O31" s="76" t="n">
        <f aca="false">G31*8000+H31*2500000+I31*120000+J31*450000+K31*15000+L31*3000+M31*18000+N31*35000</f>
        <v>6144775000</v>
      </c>
      <c r="P31" s="74" t="s">
        <v>400</v>
      </c>
    </row>
    <row r="32" customFormat="false" ht="15.75" hidden="false" customHeight="true" outlineLevel="0" collapsed="false">
      <c r="A32" s="73" t="n">
        <v>27</v>
      </c>
      <c r="B32" s="74" t="s">
        <v>11</v>
      </c>
      <c r="C32" s="74" t="s">
        <v>221</v>
      </c>
      <c r="D32" s="74" t="s">
        <v>269</v>
      </c>
      <c r="E32" s="75" t="n">
        <v>223</v>
      </c>
      <c r="F32" s="74" t="s">
        <v>224</v>
      </c>
      <c r="G32" s="75" t="n">
        <v>26760</v>
      </c>
      <c r="H32" s="75" t="n">
        <v>111.5</v>
      </c>
      <c r="I32" s="75" t="n">
        <v>1784</v>
      </c>
      <c r="J32" s="75" t="n">
        <v>669</v>
      </c>
      <c r="K32" s="75" t="n">
        <v>3345</v>
      </c>
      <c r="L32" s="75" t="n">
        <v>0</v>
      </c>
      <c r="M32" s="75" t="n">
        <v>0</v>
      </c>
      <c r="N32" s="75" t="n">
        <v>0</v>
      </c>
      <c r="O32" s="76" t="n">
        <f aca="false">G32*8000+H32*2500000+I32*120000+J32*450000+K32*15000+L32*3000+M32*18000+N32*35000</f>
        <v>1058135000</v>
      </c>
      <c r="P32" s="74" t="s">
        <v>400</v>
      </c>
    </row>
    <row r="33" customFormat="false" ht="15.75" hidden="false" customHeight="true" outlineLevel="0" collapsed="false">
      <c r="A33" s="73" t="n">
        <v>28</v>
      </c>
      <c r="B33" s="74" t="s">
        <v>11</v>
      </c>
      <c r="C33" s="74" t="s">
        <v>221</v>
      </c>
      <c r="D33" s="74" t="s">
        <v>271</v>
      </c>
      <c r="E33" s="75" t="n">
        <v>178</v>
      </c>
      <c r="F33" s="74" t="s">
        <v>224</v>
      </c>
      <c r="G33" s="75" t="n">
        <v>21360</v>
      </c>
      <c r="H33" s="75" t="n">
        <v>89</v>
      </c>
      <c r="I33" s="75" t="n">
        <v>1424</v>
      </c>
      <c r="J33" s="75" t="n">
        <v>534</v>
      </c>
      <c r="K33" s="75" t="n">
        <v>2670</v>
      </c>
      <c r="L33" s="75" t="n">
        <v>0</v>
      </c>
      <c r="M33" s="75" t="n">
        <v>0</v>
      </c>
      <c r="N33" s="75" t="n">
        <v>0</v>
      </c>
      <c r="O33" s="76" t="n">
        <f aca="false">G33*8000+H33*2500000+I33*120000+J33*450000+K33*15000+L33*3000+M33*18000+N33*35000</f>
        <v>844610000</v>
      </c>
      <c r="P33" s="74" t="s">
        <v>400</v>
      </c>
    </row>
    <row r="34" customFormat="false" ht="15.75" hidden="false" customHeight="true" outlineLevel="0" collapsed="false">
      <c r="A34" s="73" t="n">
        <v>29</v>
      </c>
      <c r="B34" s="74" t="s">
        <v>11</v>
      </c>
      <c r="C34" s="74" t="s">
        <v>221</v>
      </c>
      <c r="D34" s="74" t="s">
        <v>273</v>
      </c>
      <c r="E34" s="75" t="n">
        <v>472.7</v>
      </c>
      <c r="F34" s="74" t="s">
        <v>224</v>
      </c>
      <c r="G34" s="75" t="n">
        <v>56724</v>
      </c>
      <c r="H34" s="75" t="n">
        <v>236.3</v>
      </c>
      <c r="I34" s="75" t="n">
        <v>3782</v>
      </c>
      <c r="J34" s="75" t="n">
        <v>1418</v>
      </c>
      <c r="K34" s="75" t="n">
        <v>7090</v>
      </c>
      <c r="L34" s="75" t="n">
        <v>0</v>
      </c>
      <c r="M34" s="75" t="n">
        <v>0</v>
      </c>
      <c r="N34" s="75" t="n">
        <v>0</v>
      </c>
      <c r="O34" s="76" t="n">
        <f aca="false">G34*8000+H34*2500000+I34*120000+J34*450000+K34*15000+L34*3000+M34*18000+N34*35000</f>
        <v>2242832000</v>
      </c>
      <c r="P34" s="74" t="s">
        <v>400</v>
      </c>
    </row>
    <row r="35" customFormat="false" ht="15.75" hidden="false" customHeight="true" outlineLevel="0" collapsed="false">
      <c r="A35" s="73" t="n">
        <v>30</v>
      </c>
      <c r="B35" s="74" t="s">
        <v>11</v>
      </c>
      <c r="C35" s="74" t="s">
        <v>221</v>
      </c>
      <c r="D35" s="74" t="s">
        <v>275</v>
      </c>
      <c r="E35" s="75" t="n">
        <v>240</v>
      </c>
      <c r="F35" s="74" t="s">
        <v>224</v>
      </c>
      <c r="G35" s="75" t="n">
        <v>28800</v>
      </c>
      <c r="H35" s="75" t="n">
        <v>120</v>
      </c>
      <c r="I35" s="75" t="n">
        <v>1920</v>
      </c>
      <c r="J35" s="75" t="n">
        <v>720</v>
      </c>
      <c r="K35" s="75" t="n">
        <v>3600</v>
      </c>
      <c r="L35" s="75" t="n">
        <v>0</v>
      </c>
      <c r="M35" s="75" t="n">
        <v>0</v>
      </c>
      <c r="N35" s="75" t="n">
        <v>0</v>
      </c>
      <c r="O35" s="76" t="n">
        <f aca="false">G35*8000+H35*2500000+I35*120000+J35*450000+K35*15000+L35*3000+M35*18000+N35*35000</f>
        <v>1138800000</v>
      </c>
      <c r="P35" s="74" t="s">
        <v>400</v>
      </c>
    </row>
    <row r="36" customFormat="false" ht="15.75" hidden="false" customHeight="true" outlineLevel="0" collapsed="false">
      <c r="A36" s="73" t="n">
        <v>31</v>
      </c>
      <c r="B36" s="74" t="s">
        <v>11</v>
      </c>
      <c r="C36" s="74" t="s">
        <v>221</v>
      </c>
      <c r="D36" s="74" t="s">
        <v>277</v>
      </c>
      <c r="E36" s="75" t="n">
        <v>751.29</v>
      </c>
      <c r="F36" s="74" t="s">
        <v>224</v>
      </c>
      <c r="G36" s="75" t="n">
        <v>90155</v>
      </c>
      <c r="H36" s="75" t="n">
        <v>375.6</v>
      </c>
      <c r="I36" s="75" t="n">
        <v>6010</v>
      </c>
      <c r="J36" s="75" t="n">
        <v>2254</v>
      </c>
      <c r="K36" s="75" t="n">
        <v>11269</v>
      </c>
      <c r="L36" s="75" t="n">
        <v>0</v>
      </c>
      <c r="M36" s="75" t="n">
        <v>0</v>
      </c>
      <c r="N36" s="75" t="n">
        <v>0</v>
      </c>
      <c r="O36" s="76" t="n">
        <f aca="false">G36*8000+H36*2500000+I36*120000+J36*450000+K36*15000+L36*3000+M36*18000+N36*35000</f>
        <v>3564775000</v>
      </c>
      <c r="P36" s="74" t="s">
        <v>400</v>
      </c>
    </row>
    <row r="37" customFormat="false" ht="15.75" hidden="false" customHeight="true" outlineLevel="0" collapsed="false">
      <c r="A37" s="73" t="n">
        <v>32</v>
      </c>
      <c r="B37" s="74" t="s">
        <v>11</v>
      </c>
      <c r="C37" s="74" t="s">
        <v>221</v>
      </c>
      <c r="D37" s="74" t="s">
        <v>279</v>
      </c>
      <c r="E37" s="75" t="n">
        <v>196</v>
      </c>
      <c r="F37" s="74" t="s">
        <v>224</v>
      </c>
      <c r="G37" s="75" t="n">
        <v>23520</v>
      </c>
      <c r="H37" s="75" t="n">
        <v>98</v>
      </c>
      <c r="I37" s="75" t="n">
        <v>1568</v>
      </c>
      <c r="J37" s="75" t="n">
        <v>588</v>
      </c>
      <c r="K37" s="75" t="n">
        <v>2940</v>
      </c>
      <c r="L37" s="75" t="n">
        <v>0</v>
      </c>
      <c r="M37" s="75" t="n">
        <v>0</v>
      </c>
      <c r="N37" s="75" t="n">
        <v>0</v>
      </c>
      <c r="O37" s="76" t="n">
        <f aca="false">G37*8000+H37*2500000+I37*120000+J37*450000+K37*15000+L37*3000+M37*18000+N37*35000</f>
        <v>930020000</v>
      </c>
      <c r="P37" s="74" t="s">
        <v>400</v>
      </c>
    </row>
    <row r="38" customFormat="false" ht="15.75" hidden="false" customHeight="true" outlineLevel="0" collapsed="false">
      <c r="A38" s="73" t="n">
        <v>33</v>
      </c>
      <c r="B38" s="74" t="s">
        <v>11</v>
      </c>
      <c r="C38" s="74" t="s">
        <v>12</v>
      </c>
      <c r="D38" s="74" t="s">
        <v>281</v>
      </c>
      <c r="E38" s="75" t="n">
        <v>5416</v>
      </c>
      <c r="F38" s="74" t="s">
        <v>224</v>
      </c>
      <c r="G38" s="75" t="n">
        <v>649920</v>
      </c>
      <c r="H38" s="75" t="n">
        <v>2708</v>
      </c>
      <c r="I38" s="75" t="n">
        <v>43328</v>
      </c>
      <c r="J38" s="75" t="n">
        <v>16248</v>
      </c>
      <c r="K38" s="75" t="n">
        <v>81240</v>
      </c>
      <c r="L38" s="75" t="n">
        <v>0</v>
      </c>
      <c r="M38" s="75" t="n">
        <v>0</v>
      </c>
      <c r="N38" s="75" t="n">
        <v>0</v>
      </c>
      <c r="O38" s="76" t="n">
        <f aca="false">G38*8000+H38*2500000+I38*120000+J38*450000+K38*15000+L38*3000+M38*18000+N38*35000</f>
        <v>25698920000</v>
      </c>
      <c r="P38" s="74" t="s">
        <v>400</v>
      </c>
    </row>
    <row r="39" customFormat="false" ht="15.75" hidden="false" customHeight="true" outlineLevel="0" collapsed="false">
      <c r="A39" s="73" t="n">
        <v>34</v>
      </c>
      <c r="B39" s="74" t="s">
        <v>11</v>
      </c>
      <c r="C39" s="74" t="s">
        <v>283</v>
      </c>
      <c r="D39" s="74" t="s">
        <v>284</v>
      </c>
      <c r="E39" s="75" t="n">
        <v>4525</v>
      </c>
      <c r="F39" s="74" t="s">
        <v>224</v>
      </c>
      <c r="G39" s="75" t="n">
        <v>543000</v>
      </c>
      <c r="H39" s="75" t="n">
        <v>2262.5</v>
      </c>
      <c r="I39" s="75" t="n">
        <v>36200</v>
      </c>
      <c r="J39" s="75" t="n">
        <v>13575</v>
      </c>
      <c r="K39" s="75" t="n">
        <v>67875</v>
      </c>
      <c r="L39" s="75" t="n">
        <v>0</v>
      </c>
      <c r="M39" s="75" t="n">
        <v>0</v>
      </c>
      <c r="N39" s="75" t="n">
        <v>0</v>
      </c>
      <c r="O39" s="76" t="n">
        <f aca="false">G39*8000+H39*2500000+I39*120000+J39*450000+K39*15000+L39*3000+M39*18000+N39*35000</f>
        <v>21471125000</v>
      </c>
      <c r="P39" s="74" t="s">
        <v>400</v>
      </c>
    </row>
    <row r="40" customFormat="false" ht="15.75" hidden="false" customHeight="true" outlineLevel="0" collapsed="false">
      <c r="A40" s="73" t="n">
        <v>35</v>
      </c>
      <c r="B40" s="74" t="s">
        <v>11</v>
      </c>
      <c r="C40" s="74" t="s">
        <v>286</v>
      </c>
      <c r="D40" s="74" t="s">
        <v>287</v>
      </c>
      <c r="E40" s="75" t="n">
        <v>1885</v>
      </c>
      <c r="F40" s="74" t="s">
        <v>224</v>
      </c>
      <c r="G40" s="75" t="n">
        <v>226200</v>
      </c>
      <c r="H40" s="75" t="n">
        <v>942.5</v>
      </c>
      <c r="I40" s="75" t="n">
        <v>15080</v>
      </c>
      <c r="J40" s="75" t="n">
        <v>5655</v>
      </c>
      <c r="K40" s="75" t="n">
        <v>28275</v>
      </c>
      <c r="L40" s="75" t="n">
        <v>0</v>
      </c>
      <c r="M40" s="75" t="n">
        <v>0</v>
      </c>
      <c r="N40" s="75" t="n">
        <v>0</v>
      </c>
      <c r="O40" s="76" t="n">
        <f aca="false">G40*8000+H40*2500000+I40*120000+J40*450000+K40*15000+L40*3000+M40*18000+N40*35000</f>
        <v>8944325000</v>
      </c>
      <c r="P40" s="74" t="s">
        <v>400</v>
      </c>
    </row>
    <row r="41" customFormat="false" ht="15.75" hidden="false" customHeight="true" outlineLevel="0" collapsed="false">
      <c r="A41" s="77" t="n">
        <v>36</v>
      </c>
      <c r="B41" s="78" t="s">
        <v>13</v>
      </c>
      <c r="C41" s="78" t="s">
        <v>221</v>
      </c>
      <c r="D41" s="78" t="s">
        <v>292</v>
      </c>
      <c r="E41" s="79" t="n">
        <v>4556</v>
      </c>
      <c r="F41" s="78" t="s">
        <v>294</v>
      </c>
      <c r="G41" s="79" t="n">
        <v>0</v>
      </c>
      <c r="H41" s="79" t="n">
        <v>0</v>
      </c>
      <c r="I41" s="79" t="n">
        <v>22780</v>
      </c>
      <c r="J41" s="79" t="n">
        <v>0</v>
      </c>
      <c r="K41" s="79" t="n">
        <v>0</v>
      </c>
      <c r="L41" s="79" t="n">
        <v>3644800</v>
      </c>
      <c r="M41" s="79" t="n">
        <v>54672</v>
      </c>
      <c r="N41" s="79" t="n">
        <v>182240</v>
      </c>
      <c r="O41" s="80" t="n">
        <f aca="false">G41*8000+H41*2500000+I41*120000+J41*450000+K41*15000+L41*3000+M41*18000+N41*35000</f>
        <v>21030496000</v>
      </c>
      <c r="P41" s="78" t="s">
        <v>401</v>
      </c>
    </row>
    <row r="42" customFormat="false" ht="15.75" hidden="false" customHeight="true" outlineLevel="0" collapsed="false">
      <c r="A42" s="77" t="n">
        <v>37</v>
      </c>
      <c r="B42" s="78" t="s">
        <v>13</v>
      </c>
      <c r="C42" s="78" t="s">
        <v>14</v>
      </c>
      <c r="D42" s="78" t="s">
        <v>296</v>
      </c>
      <c r="E42" s="79" t="n">
        <v>399</v>
      </c>
      <c r="F42" s="78" t="s">
        <v>294</v>
      </c>
      <c r="G42" s="79" t="n">
        <v>0</v>
      </c>
      <c r="H42" s="79" t="n">
        <v>0</v>
      </c>
      <c r="I42" s="79" t="n">
        <v>1995</v>
      </c>
      <c r="J42" s="79" t="n">
        <v>0</v>
      </c>
      <c r="K42" s="79" t="n">
        <v>0</v>
      </c>
      <c r="L42" s="79" t="n">
        <v>319200</v>
      </c>
      <c r="M42" s="79" t="n">
        <v>4788</v>
      </c>
      <c r="N42" s="79" t="n">
        <v>15960</v>
      </c>
      <c r="O42" s="80" t="n">
        <f aca="false">G42*8000+H42*2500000+I42*120000+J42*450000+K42*15000+L42*3000+M42*18000+N42*35000</f>
        <v>1841784000</v>
      </c>
      <c r="P42" s="78" t="s">
        <v>401</v>
      </c>
    </row>
    <row r="43" customFormat="false" ht="15.75" hidden="false" customHeight="true" outlineLevel="0" collapsed="false">
      <c r="A43" s="77" t="n">
        <v>38</v>
      </c>
      <c r="B43" s="78" t="s">
        <v>13</v>
      </c>
      <c r="C43" s="78" t="s">
        <v>14</v>
      </c>
      <c r="D43" s="78" t="s">
        <v>298</v>
      </c>
      <c r="E43" s="79" t="n">
        <v>763</v>
      </c>
      <c r="F43" s="78" t="s">
        <v>294</v>
      </c>
      <c r="G43" s="79" t="n">
        <v>0</v>
      </c>
      <c r="H43" s="79" t="n">
        <v>0</v>
      </c>
      <c r="I43" s="79" t="n">
        <v>3815</v>
      </c>
      <c r="J43" s="79" t="n">
        <v>0</v>
      </c>
      <c r="K43" s="79" t="n">
        <v>0</v>
      </c>
      <c r="L43" s="79" t="n">
        <v>610400</v>
      </c>
      <c r="M43" s="79" t="n">
        <v>9156</v>
      </c>
      <c r="N43" s="79" t="n">
        <v>30520</v>
      </c>
      <c r="O43" s="80" t="n">
        <f aca="false">G43*8000+H43*2500000+I43*120000+J43*450000+K43*15000+L43*3000+M43*18000+N43*35000</f>
        <v>3522008000</v>
      </c>
      <c r="P43" s="78" t="s">
        <v>401</v>
      </c>
    </row>
    <row r="44" customFormat="false" ht="15.75" hidden="false" customHeight="true" outlineLevel="0" collapsed="false">
      <c r="A44" s="77" t="n">
        <v>39</v>
      </c>
      <c r="B44" s="78" t="s">
        <v>13</v>
      </c>
      <c r="C44" s="78" t="s">
        <v>14</v>
      </c>
      <c r="D44" s="78" t="s">
        <v>300</v>
      </c>
      <c r="E44" s="79" t="n">
        <v>4051</v>
      </c>
      <c r="F44" s="78" t="s">
        <v>294</v>
      </c>
      <c r="G44" s="79" t="n">
        <v>0</v>
      </c>
      <c r="H44" s="79" t="n">
        <v>0</v>
      </c>
      <c r="I44" s="79" t="n">
        <v>20255</v>
      </c>
      <c r="J44" s="79" t="n">
        <v>0</v>
      </c>
      <c r="K44" s="79" t="n">
        <v>0</v>
      </c>
      <c r="L44" s="79" t="n">
        <v>3240800</v>
      </c>
      <c r="M44" s="79" t="n">
        <v>48612</v>
      </c>
      <c r="N44" s="79" t="n">
        <v>162040</v>
      </c>
      <c r="O44" s="80" t="n">
        <f aca="false">G44*8000+H44*2500000+I44*120000+J44*450000+K44*15000+L44*3000+M44*18000+N44*35000</f>
        <v>18699416000</v>
      </c>
      <c r="P44" s="78" t="s">
        <v>401</v>
      </c>
    </row>
    <row r="45" customFormat="false" ht="15.75" hidden="false" customHeight="true" outlineLevel="0" collapsed="false">
      <c r="A45" s="77" t="n">
        <v>40</v>
      </c>
      <c r="B45" s="78" t="s">
        <v>13</v>
      </c>
      <c r="C45" s="78" t="s">
        <v>14</v>
      </c>
      <c r="D45" s="78" t="s">
        <v>302</v>
      </c>
      <c r="E45" s="79" t="n">
        <v>424</v>
      </c>
      <c r="F45" s="78" t="s">
        <v>294</v>
      </c>
      <c r="G45" s="79" t="n">
        <v>0</v>
      </c>
      <c r="H45" s="79" t="n">
        <v>0</v>
      </c>
      <c r="I45" s="79" t="n">
        <v>2120</v>
      </c>
      <c r="J45" s="79" t="n">
        <v>0</v>
      </c>
      <c r="K45" s="79" t="n">
        <v>0</v>
      </c>
      <c r="L45" s="79" t="n">
        <v>339200</v>
      </c>
      <c r="M45" s="79" t="n">
        <v>5088</v>
      </c>
      <c r="N45" s="79" t="n">
        <v>16960</v>
      </c>
      <c r="O45" s="80" t="n">
        <f aca="false">G45*8000+H45*2500000+I45*120000+J45*450000+K45*15000+L45*3000+M45*18000+N45*35000</f>
        <v>1957184000</v>
      </c>
      <c r="P45" s="78" t="s">
        <v>401</v>
      </c>
    </row>
    <row r="46" customFormat="false" ht="15.75" hidden="false" customHeight="true" outlineLevel="0" collapsed="false">
      <c r="A46" s="77" t="n">
        <v>41</v>
      </c>
      <c r="B46" s="78" t="s">
        <v>13</v>
      </c>
      <c r="C46" s="78" t="s">
        <v>14</v>
      </c>
      <c r="D46" s="78" t="s">
        <v>304</v>
      </c>
      <c r="E46" s="79" t="n">
        <v>911</v>
      </c>
      <c r="F46" s="78" t="s">
        <v>294</v>
      </c>
      <c r="G46" s="79" t="n">
        <v>0</v>
      </c>
      <c r="H46" s="79" t="n">
        <v>0</v>
      </c>
      <c r="I46" s="79" t="n">
        <v>4555</v>
      </c>
      <c r="J46" s="79" t="n">
        <v>0</v>
      </c>
      <c r="K46" s="79" t="n">
        <v>0</v>
      </c>
      <c r="L46" s="79" t="n">
        <v>728800</v>
      </c>
      <c r="M46" s="79" t="n">
        <v>10932</v>
      </c>
      <c r="N46" s="79" t="n">
        <v>36440</v>
      </c>
      <c r="O46" s="80" t="n">
        <f aca="false">G46*8000+H46*2500000+I46*120000+J46*450000+K46*15000+L46*3000+M46*18000+N46*35000</f>
        <v>4205176000</v>
      </c>
      <c r="P46" s="78" t="s">
        <v>401</v>
      </c>
    </row>
    <row r="47" customFormat="false" ht="15.75" hidden="false" customHeight="true" outlineLevel="0" collapsed="false">
      <c r="A47" s="77" t="n">
        <v>42</v>
      </c>
      <c r="B47" s="78" t="s">
        <v>13</v>
      </c>
      <c r="C47" s="78" t="s">
        <v>14</v>
      </c>
      <c r="D47" s="78" t="s">
        <v>306</v>
      </c>
      <c r="E47" s="79" t="n">
        <v>462</v>
      </c>
      <c r="F47" s="78" t="s">
        <v>294</v>
      </c>
      <c r="G47" s="79" t="n">
        <v>0</v>
      </c>
      <c r="H47" s="79" t="n">
        <v>0</v>
      </c>
      <c r="I47" s="79" t="n">
        <v>2310</v>
      </c>
      <c r="J47" s="79" t="n">
        <v>0</v>
      </c>
      <c r="K47" s="79" t="n">
        <v>0</v>
      </c>
      <c r="L47" s="79" t="n">
        <v>369600</v>
      </c>
      <c r="M47" s="79" t="n">
        <v>5544</v>
      </c>
      <c r="N47" s="79" t="n">
        <v>18480</v>
      </c>
      <c r="O47" s="80" t="n">
        <f aca="false">G47*8000+H47*2500000+I47*120000+J47*450000+K47*15000+L47*3000+M47*18000+N47*35000</f>
        <v>2132592000</v>
      </c>
      <c r="P47" s="78" t="s">
        <v>401</v>
      </c>
    </row>
    <row r="48" customFormat="false" ht="15.75" hidden="false" customHeight="true" outlineLevel="0" collapsed="false">
      <c r="A48" s="77" t="n">
        <v>43</v>
      </c>
      <c r="B48" s="78" t="s">
        <v>13</v>
      </c>
      <c r="C48" s="78" t="s">
        <v>14</v>
      </c>
      <c r="D48" s="78" t="s">
        <v>308</v>
      </c>
      <c r="E48" s="79" t="n">
        <v>2662</v>
      </c>
      <c r="F48" s="78" t="s">
        <v>294</v>
      </c>
      <c r="G48" s="79" t="n">
        <v>0</v>
      </c>
      <c r="H48" s="79" t="n">
        <v>0</v>
      </c>
      <c r="I48" s="79" t="n">
        <v>13310</v>
      </c>
      <c r="J48" s="79" t="n">
        <v>0</v>
      </c>
      <c r="K48" s="79" t="n">
        <v>0</v>
      </c>
      <c r="L48" s="79" t="n">
        <v>2129600</v>
      </c>
      <c r="M48" s="79" t="n">
        <v>31944</v>
      </c>
      <c r="N48" s="79" t="n">
        <v>106480</v>
      </c>
      <c r="O48" s="80" t="n">
        <f aca="false">G48*8000+H48*2500000+I48*120000+J48*450000+K48*15000+L48*3000+M48*18000+N48*35000</f>
        <v>12287792000</v>
      </c>
      <c r="P48" s="78" t="s">
        <v>401</v>
      </c>
    </row>
    <row r="49" customFormat="false" ht="15.75" hidden="false" customHeight="true" outlineLevel="0" collapsed="false">
      <c r="A49" s="77" t="n">
        <v>44</v>
      </c>
      <c r="B49" s="78" t="s">
        <v>13</v>
      </c>
      <c r="C49" s="78" t="s">
        <v>221</v>
      </c>
      <c r="D49" s="78" t="s">
        <v>310</v>
      </c>
      <c r="E49" s="79" t="n">
        <v>966</v>
      </c>
      <c r="F49" s="78" t="s">
        <v>294</v>
      </c>
      <c r="G49" s="79" t="n">
        <v>0</v>
      </c>
      <c r="H49" s="79" t="n">
        <v>0</v>
      </c>
      <c r="I49" s="79" t="n">
        <v>4830</v>
      </c>
      <c r="J49" s="79" t="n">
        <v>0</v>
      </c>
      <c r="K49" s="79" t="n">
        <v>0</v>
      </c>
      <c r="L49" s="79" t="n">
        <v>772800</v>
      </c>
      <c r="M49" s="79" t="n">
        <v>11592</v>
      </c>
      <c r="N49" s="79" t="n">
        <v>38640</v>
      </c>
      <c r="O49" s="80" t="n">
        <f aca="false">G49*8000+H49*2500000+I49*120000+J49*450000+K49*15000+L49*3000+M49*18000+N49*35000</f>
        <v>4459056000</v>
      </c>
      <c r="P49" s="78" t="s">
        <v>401</v>
      </c>
    </row>
    <row r="50" customFormat="false" ht="15.75" hidden="false" customHeight="true" outlineLevel="0" collapsed="false">
      <c r="A50" s="77" t="n">
        <v>45</v>
      </c>
      <c r="B50" s="78" t="s">
        <v>13</v>
      </c>
      <c r="C50" s="78" t="s">
        <v>14</v>
      </c>
      <c r="D50" s="78" t="s">
        <v>312</v>
      </c>
      <c r="E50" s="79" t="n">
        <v>1088</v>
      </c>
      <c r="F50" s="78" t="s">
        <v>294</v>
      </c>
      <c r="G50" s="79" t="n">
        <v>0</v>
      </c>
      <c r="H50" s="79" t="n">
        <v>0</v>
      </c>
      <c r="I50" s="79" t="n">
        <v>5440</v>
      </c>
      <c r="J50" s="79" t="n">
        <v>0</v>
      </c>
      <c r="K50" s="79" t="n">
        <v>0</v>
      </c>
      <c r="L50" s="79" t="n">
        <v>870400</v>
      </c>
      <c r="M50" s="79" t="n">
        <v>13056</v>
      </c>
      <c r="N50" s="79" t="n">
        <v>43520</v>
      </c>
      <c r="O50" s="80" t="n">
        <f aca="false">G50*8000+H50*2500000+I50*120000+J50*450000+K50*15000+L50*3000+M50*18000+N50*35000</f>
        <v>5022208000</v>
      </c>
      <c r="P50" s="78" t="s">
        <v>401</v>
      </c>
    </row>
    <row r="51" customFormat="false" ht="15.75" hidden="false" customHeight="true" outlineLevel="0" collapsed="false">
      <c r="A51" s="77" t="n">
        <v>46</v>
      </c>
      <c r="B51" s="78" t="s">
        <v>13</v>
      </c>
      <c r="C51" s="78" t="s">
        <v>14</v>
      </c>
      <c r="D51" s="78" t="s">
        <v>314</v>
      </c>
      <c r="E51" s="79" t="n">
        <v>1266</v>
      </c>
      <c r="F51" s="78" t="s">
        <v>294</v>
      </c>
      <c r="G51" s="79" t="n">
        <v>0</v>
      </c>
      <c r="H51" s="79" t="n">
        <v>0</v>
      </c>
      <c r="I51" s="79" t="n">
        <v>6330</v>
      </c>
      <c r="J51" s="79" t="n">
        <v>0</v>
      </c>
      <c r="K51" s="79" t="n">
        <v>0</v>
      </c>
      <c r="L51" s="79" t="n">
        <v>1012800</v>
      </c>
      <c r="M51" s="79" t="n">
        <v>15192</v>
      </c>
      <c r="N51" s="79" t="n">
        <v>50640</v>
      </c>
      <c r="O51" s="80" t="n">
        <f aca="false">G51*8000+H51*2500000+I51*120000+J51*450000+K51*15000+L51*3000+M51*18000+N51*35000</f>
        <v>5843856000</v>
      </c>
      <c r="P51" s="78" t="s">
        <v>401</v>
      </c>
    </row>
    <row r="52" customFormat="false" ht="15.75" hidden="false" customHeight="true" outlineLevel="0" collapsed="false">
      <c r="A52" s="77" t="n">
        <v>47</v>
      </c>
      <c r="B52" s="78" t="s">
        <v>13</v>
      </c>
      <c r="C52" s="78" t="s">
        <v>14</v>
      </c>
      <c r="D52" s="78" t="s">
        <v>316</v>
      </c>
      <c r="E52" s="79" t="n">
        <v>2926</v>
      </c>
      <c r="F52" s="78" t="s">
        <v>294</v>
      </c>
      <c r="G52" s="79" t="n">
        <v>0</v>
      </c>
      <c r="H52" s="79" t="n">
        <v>0</v>
      </c>
      <c r="I52" s="79" t="n">
        <v>14630</v>
      </c>
      <c r="J52" s="79" t="n">
        <v>0</v>
      </c>
      <c r="K52" s="79" t="n">
        <v>0</v>
      </c>
      <c r="L52" s="79" t="n">
        <v>2340800</v>
      </c>
      <c r="M52" s="79" t="n">
        <v>35112</v>
      </c>
      <c r="N52" s="79" t="n">
        <v>117040</v>
      </c>
      <c r="O52" s="80" t="n">
        <f aca="false">G52*8000+H52*2500000+I52*120000+J52*450000+K52*15000+L52*3000+M52*18000+N52*35000</f>
        <v>13506416000</v>
      </c>
      <c r="P52" s="78" t="s">
        <v>401</v>
      </c>
    </row>
    <row r="53" customFormat="false" ht="15.75" hidden="false" customHeight="true" outlineLevel="0" collapsed="false">
      <c r="A53" s="77" t="n">
        <v>48</v>
      </c>
      <c r="B53" s="78" t="s">
        <v>13</v>
      </c>
      <c r="C53" s="78" t="s">
        <v>14</v>
      </c>
      <c r="D53" s="78" t="s">
        <v>318</v>
      </c>
      <c r="E53" s="79" t="n">
        <v>2378</v>
      </c>
      <c r="F53" s="78" t="s">
        <v>294</v>
      </c>
      <c r="G53" s="79" t="n">
        <v>0</v>
      </c>
      <c r="H53" s="79" t="n">
        <v>0</v>
      </c>
      <c r="I53" s="79" t="n">
        <v>11890</v>
      </c>
      <c r="J53" s="79" t="n">
        <v>0</v>
      </c>
      <c r="K53" s="79" t="n">
        <v>0</v>
      </c>
      <c r="L53" s="79" t="n">
        <v>1902400</v>
      </c>
      <c r="M53" s="79" t="n">
        <v>28536</v>
      </c>
      <c r="N53" s="79" t="n">
        <v>95120</v>
      </c>
      <c r="O53" s="80" t="n">
        <f aca="false">G53*8000+H53*2500000+I53*120000+J53*450000+K53*15000+L53*3000+M53*18000+N53*35000</f>
        <v>10976848000</v>
      </c>
      <c r="P53" s="78" t="s">
        <v>401</v>
      </c>
    </row>
    <row r="54" customFormat="false" ht="15.75" hidden="false" customHeight="true" outlineLevel="0" collapsed="false">
      <c r="A54" s="77" t="n">
        <v>49</v>
      </c>
      <c r="B54" s="78" t="s">
        <v>13</v>
      </c>
      <c r="C54" s="78" t="s">
        <v>14</v>
      </c>
      <c r="D54" s="78" t="s">
        <v>320</v>
      </c>
      <c r="E54" s="79" t="n">
        <v>2974</v>
      </c>
      <c r="F54" s="78" t="s">
        <v>294</v>
      </c>
      <c r="G54" s="79" t="n">
        <v>0</v>
      </c>
      <c r="H54" s="79" t="n">
        <v>0</v>
      </c>
      <c r="I54" s="79" t="n">
        <v>14870</v>
      </c>
      <c r="J54" s="79" t="n">
        <v>0</v>
      </c>
      <c r="K54" s="79" t="n">
        <v>0</v>
      </c>
      <c r="L54" s="79" t="n">
        <v>2379200</v>
      </c>
      <c r="M54" s="79" t="n">
        <v>35688</v>
      </c>
      <c r="N54" s="79" t="n">
        <v>118960</v>
      </c>
      <c r="O54" s="80" t="n">
        <f aca="false">G54*8000+H54*2500000+I54*120000+J54*450000+K54*15000+L54*3000+M54*18000+N54*35000</f>
        <v>13727984000</v>
      </c>
      <c r="P54" s="78" t="s">
        <v>401</v>
      </c>
    </row>
    <row r="55" customFormat="false" ht="15.75" hidden="false" customHeight="true" outlineLevel="0" collapsed="false">
      <c r="A55" s="77" t="n">
        <v>50</v>
      </c>
      <c r="B55" s="78" t="s">
        <v>13</v>
      </c>
      <c r="C55" s="78" t="s">
        <v>14</v>
      </c>
      <c r="D55" s="78" t="s">
        <v>322</v>
      </c>
      <c r="E55" s="79" t="n">
        <v>3413</v>
      </c>
      <c r="F55" s="78" t="s">
        <v>294</v>
      </c>
      <c r="G55" s="79" t="n">
        <v>0</v>
      </c>
      <c r="H55" s="79" t="n">
        <v>0</v>
      </c>
      <c r="I55" s="79" t="n">
        <v>17065</v>
      </c>
      <c r="J55" s="79" t="n">
        <v>0</v>
      </c>
      <c r="K55" s="79" t="n">
        <v>0</v>
      </c>
      <c r="L55" s="79" t="n">
        <v>2730400</v>
      </c>
      <c r="M55" s="79" t="n">
        <v>40956</v>
      </c>
      <c r="N55" s="79" t="n">
        <v>136520</v>
      </c>
      <c r="O55" s="80" t="n">
        <f aca="false">G55*8000+H55*2500000+I55*120000+J55*450000+K55*15000+L55*3000+M55*18000+N55*35000</f>
        <v>15754408000</v>
      </c>
      <c r="P55" s="78" t="s">
        <v>401</v>
      </c>
    </row>
    <row r="56" customFormat="false" ht="15.75" hidden="false" customHeight="true" outlineLevel="0" collapsed="false">
      <c r="A56" s="77" t="n">
        <v>51</v>
      </c>
      <c r="B56" s="78" t="s">
        <v>15</v>
      </c>
      <c r="C56" s="78" t="s">
        <v>221</v>
      </c>
      <c r="D56" s="78" t="s">
        <v>327</v>
      </c>
      <c r="E56" s="79" t="n">
        <v>807</v>
      </c>
      <c r="F56" s="78" t="s">
        <v>294</v>
      </c>
      <c r="G56" s="79" t="n">
        <v>0</v>
      </c>
      <c r="H56" s="79" t="n">
        <v>0</v>
      </c>
      <c r="I56" s="79" t="n">
        <v>4035</v>
      </c>
      <c r="J56" s="79" t="n">
        <v>0</v>
      </c>
      <c r="K56" s="79" t="n">
        <v>0</v>
      </c>
      <c r="L56" s="79" t="n">
        <v>645600</v>
      </c>
      <c r="M56" s="79" t="n">
        <v>9684</v>
      </c>
      <c r="N56" s="79" t="n">
        <v>32280</v>
      </c>
      <c r="O56" s="80" t="n">
        <f aca="false">G56*8000+H56*2500000+I56*120000+J56*450000+K56*15000+L56*3000+M56*18000+N56*35000</f>
        <v>3725112000</v>
      </c>
      <c r="P56" s="78" t="s">
        <v>401</v>
      </c>
    </row>
    <row r="57" customFormat="false" ht="15.75" hidden="false" customHeight="true" outlineLevel="0" collapsed="false">
      <c r="A57" s="77" t="n">
        <v>52</v>
      </c>
      <c r="B57" s="78" t="s">
        <v>15</v>
      </c>
      <c r="C57" s="78" t="s">
        <v>221</v>
      </c>
      <c r="D57" s="78" t="s">
        <v>329</v>
      </c>
      <c r="E57" s="79" t="n">
        <v>180</v>
      </c>
      <c r="F57" s="78" t="s">
        <v>294</v>
      </c>
      <c r="G57" s="79" t="n">
        <v>0</v>
      </c>
      <c r="H57" s="79" t="n">
        <v>0</v>
      </c>
      <c r="I57" s="79" t="n">
        <v>900</v>
      </c>
      <c r="J57" s="79" t="n">
        <v>0</v>
      </c>
      <c r="K57" s="79" t="n">
        <v>0</v>
      </c>
      <c r="L57" s="79" t="n">
        <v>144000</v>
      </c>
      <c r="M57" s="79" t="n">
        <v>2160</v>
      </c>
      <c r="N57" s="79" t="n">
        <v>7200</v>
      </c>
      <c r="O57" s="80" t="n">
        <f aca="false">G57*8000+H57*2500000+I57*120000+J57*450000+K57*15000+L57*3000+M57*18000+N57*35000</f>
        <v>830880000</v>
      </c>
      <c r="P57" s="78" t="s">
        <v>401</v>
      </c>
    </row>
    <row r="58" customFormat="false" ht="15.75" hidden="false" customHeight="true" outlineLevel="0" collapsed="false">
      <c r="A58" s="77" t="n">
        <v>53</v>
      </c>
      <c r="B58" s="78" t="s">
        <v>15</v>
      </c>
      <c r="C58" s="78" t="s">
        <v>221</v>
      </c>
      <c r="D58" s="78" t="s">
        <v>331</v>
      </c>
      <c r="E58" s="79" t="n">
        <v>100</v>
      </c>
      <c r="F58" s="78" t="s">
        <v>294</v>
      </c>
      <c r="G58" s="79" t="n">
        <v>0</v>
      </c>
      <c r="H58" s="79" t="n">
        <v>0</v>
      </c>
      <c r="I58" s="79" t="n">
        <v>500</v>
      </c>
      <c r="J58" s="79" t="n">
        <v>0</v>
      </c>
      <c r="K58" s="79" t="n">
        <v>0</v>
      </c>
      <c r="L58" s="79" t="n">
        <v>80000</v>
      </c>
      <c r="M58" s="79" t="n">
        <v>1200</v>
      </c>
      <c r="N58" s="79" t="n">
        <v>4000</v>
      </c>
      <c r="O58" s="80" t="n">
        <f aca="false">G58*8000+H58*2500000+I58*120000+J58*450000+K58*15000+L58*3000+M58*18000+N58*35000</f>
        <v>461600000</v>
      </c>
      <c r="P58" s="78" t="s">
        <v>401</v>
      </c>
    </row>
    <row r="59" customFormat="false" ht="15.75" hidden="false" customHeight="true" outlineLevel="0" collapsed="false">
      <c r="A59" s="77" t="n">
        <v>54</v>
      </c>
      <c r="B59" s="78" t="s">
        <v>15</v>
      </c>
      <c r="C59" s="78" t="s">
        <v>14</v>
      </c>
      <c r="D59" s="78" t="s">
        <v>333</v>
      </c>
      <c r="E59" s="79" t="n">
        <v>2113</v>
      </c>
      <c r="F59" s="78" t="s">
        <v>294</v>
      </c>
      <c r="G59" s="79" t="n">
        <v>0</v>
      </c>
      <c r="H59" s="79" t="n">
        <v>0</v>
      </c>
      <c r="I59" s="79" t="n">
        <v>10565</v>
      </c>
      <c r="J59" s="79" t="n">
        <v>0</v>
      </c>
      <c r="K59" s="79" t="n">
        <v>0</v>
      </c>
      <c r="L59" s="79" t="n">
        <v>1690400</v>
      </c>
      <c r="M59" s="79" t="n">
        <v>25356</v>
      </c>
      <c r="N59" s="79" t="n">
        <v>84520</v>
      </c>
      <c r="O59" s="80" t="n">
        <f aca="false">G59*8000+H59*2500000+I59*120000+J59*450000+K59*15000+L59*3000+M59*18000+N59*35000</f>
        <v>9753608000</v>
      </c>
      <c r="P59" s="78" t="s">
        <v>401</v>
      </c>
    </row>
    <row r="60" customFormat="false" ht="15.75" hidden="false" customHeight="true" outlineLevel="0" collapsed="false">
      <c r="A60" s="77" t="n">
        <v>55</v>
      </c>
      <c r="B60" s="78" t="s">
        <v>15</v>
      </c>
      <c r="C60" s="78" t="s">
        <v>14</v>
      </c>
      <c r="D60" s="78" t="s">
        <v>334</v>
      </c>
      <c r="E60" s="79" t="n">
        <v>339</v>
      </c>
      <c r="F60" s="78" t="s">
        <v>294</v>
      </c>
      <c r="G60" s="79" t="n">
        <v>0</v>
      </c>
      <c r="H60" s="79" t="n">
        <v>0</v>
      </c>
      <c r="I60" s="79" t="n">
        <v>1695</v>
      </c>
      <c r="J60" s="79" t="n">
        <v>0</v>
      </c>
      <c r="K60" s="79" t="n">
        <v>0</v>
      </c>
      <c r="L60" s="79" t="n">
        <v>271200</v>
      </c>
      <c r="M60" s="79" t="n">
        <v>4068</v>
      </c>
      <c r="N60" s="79" t="n">
        <v>13560</v>
      </c>
      <c r="O60" s="80" t="n">
        <f aca="false">G60*8000+H60*2500000+I60*120000+J60*450000+K60*15000+L60*3000+M60*18000+N60*35000</f>
        <v>1564824000</v>
      </c>
      <c r="P60" s="78" t="s">
        <v>401</v>
      </c>
    </row>
    <row r="61" customFormat="false" ht="15.75" hidden="false" customHeight="true" outlineLevel="0" collapsed="false">
      <c r="A61" s="77" t="n">
        <v>56</v>
      </c>
      <c r="B61" s="78" t="s">
        <v>15</v>
      </c>
      <c r="C61" s="78" t="s">
        <v>14</v>
      </c>
      <c r="D61" s="78" t="s">
        <v>336</v>
      </c>
      <c r="E61" s="79" t="n">
        <v>4995</v>
      </c>
      <c r="F61" s="78" t="s">
        <v>294</v>
      </c>
      <c r="G61" s="79" t="n">
        <v>0</v>
      </c>
      <c r="H61" s="79" t="n">
        <v>0</v>
      </c>
      <c r="I61" s="79" t="n">
        <v>24975</v>
      </c>
      <c r="J61" s="79" t="n">
        <v>0</v>
      </c>
      <c r="K61" s="79" t="n">
        <v>0</v>
      </c>
      <c r="L61" s="79" t="n">
        <v>3996000</v>
      </c>
      <c r="M61" s="79" t="n">
        <v>59940</v>
      </c>
      <c r="N61" s="79" t="n">
        <v>199800</v>
      </c>
      <c r="O61" s="80" t="n">
        <f aca="false">G61*8000+H61*2500000+I61*120000+J61*450000+K61*15000+L61*3000+M61*18000+N61*35000</f>
        <v>23056920000</v>
      </c>
      <c r="P61" s="78" t="s">
        <v>401</v>
      </c>
    </row>
    <row r="62" customFormat="false" ht="15.75" hidden="false" customHeight="true" outlineLevel="0" collapsed="false">
      <c r="A62" s="77" t="n">
        <v>57</v>
      </c>
      <c r="B62" s="78" t="s">
        <v>15</v>
      </c>
      <c r="C62" s="78" t="s">
        <v>14</v>
      </c>
      <c r="D62" s="78" t="s">
        <v>338</v>
      </c>
      <c r="E62" s="79" t="n">
        <v>4993</v>
      </c>
      <c r="F62" s="78" t="s">
        <v>294</v>
      </c>
      <c r="G62" s="79" t="n">
        <v>0</v>
      </c>
      <c r="H62" s="79" t="n">
        <v>0</v>
      </c>
      <c r="I62" s="79" t="n">
        <v>24965</v>
      </c>
      <c r="J62" s="79" t="n">
        <v>0</v>
      </c>
      <c r="K62" s="79" t="n">
        <v>0</v>
      </c>
      <c r="L62" s="79" t="n">
        <v>3994400</v>
      </c>
      <c r="M62" s="79" t="n">
        <v>59916</v>
      </c>
      <c r="N62" s="79" t="n">
        <v>199720</v>
      </c>
      <c r="O62" s="80" t="n">
        <f aca="false">G62*8000+H62*2500000+I62*120000+J62*450000+K62*15000+L62*3000+M62*18000+N62*35000</f>
        <v>23047688000</v>
      </c>
      <c r="P62" s="78" t="s">
        <v>401</v>
      </c>
    </row>
    <row r="63" customFormat="false" ht="15.75" hidden="false" customHeight="true" outlineLevel="0" collapsed="false">
      <c r="A63" s="77" t="n">
        <v>58</v>
      </c>
      <c r="B63" s="78" t="s">
        <v>15</v>
      </c>
      <c r="C63" s="78" t="s">
        <v>14</v>
      </c>
      <c r="D63" s="78" t="s">
        <v>340</v>
      </c>
      <c r="E63" s="79" t="n">
        <v>2012</v>
      </c>
      <c r="F63" s="78" t="s">
        <v>294</v>
      </c>
      <c r="G63" s="79" t="n">
        <v>0</v>
      </c>
      <c r="H63" s="79" t="n">
        <v>0</v>
      </c>
      <c r="I63" s="79" t="n">
        <v>10060</v>
      </c>
      <c r="J63" s="79" t="n">
        <v>0</v>
      </c>
      <c r="K63" s="79" t="n">
        <v>0</v>
      </c>
      <c r="L63" s="79" t="n">
        <v>1609600</v>
      </c>
      <c r="M63" s="79" t="n">
        <v>24144</v>
      </c>
      <c r="N63" s="79" t="n">
        <v>80480</v>
      </c>
      <c r="O63" s="80" t="n">
        <f aca="false">G63*8000+H63*2500000+I63*120000+J63*450000+K63*15000+L63*3000+M63*18000+N63*35000</f>
        <v>9287392000</v>
      </c>
      <c r="P63" s="78" t="s">
        <v>401</v>
      </c>
    </row>
    <row r="64" customFormat="false" ht="15.75" hidden="false" customHeight="true" outlineLevel="0" collapsed="false">
      <c r="A64" s="77" t="n">
        <v>59</v>
      </c>
      <c r="B64" s="78" t="s">
        <v>15</v>
      </c>
      <c r="C64" s="78" t="s">
        <v>14</v>
      </c>
      <c r="D64" s="78" t="s">
        <v>341</v>
      </c>
      <c r="E64" s="79" t="n">
        <v>9416</v>
      </c>
      <c r="F64" s="78" t="s">
        <v>294</v>
      </c>
      <c r="G64" s="79" t="n">
        <v>0</v>
      </c>
      <c r="H64" s="79" t="n">
        <v>0</v>
      </c>
      <c r="I64" s="79" t="n">
        <v>47080</v>
      </c>
      <c r="J64" s="79" t="n">
        <v>0</v>
      </c>
      <c r="K64" s="79" t="n">
        <v>0</v>
      </c>
      <c r="L64" s="79" t="n">
        <v>7532800</v>
      </c>
      <c r="M64" s="79" t="n">
        <v>112992</v>
      </c>
      <c r="N64" s="79" t="n">
        <v>376640</v>
      </c>
      <c r="O64" s="80" t="n">
        <f aca="false">G64*8000+H64*2500000+I64*120000+J64*450000+K64*15000+L64*3000+M64*18000+N64*35000</f>
        <v>43464256000</v>
      </c>
      <c r="P64" s="78" t="s">
        <v>401</v>
      </c>
    </row>
    <row r="65" customFormat="false" ht="15.75" hidden="false" customHeight="true" outlineLevel="0" collapsed="false">
      <c r="A65" s="77" t="n">
        <v>60</v>
      </c>
      <c r="B65" s="78" t="s">
        <v>15</v>
      </c>
      <c r="C65" s="78" t="s">
        <v>14</v>
      </c>
      <c r="D65" s="78" t="s">
        <v>342</v>
      </c>
      <c r="E65" s="79" t="n">
        <v>5000</v>
      </c>
      <c r="F65" s="78" t="s">
        <v>294</v>
      </c>
      <c r="G65" s="79" t="n">
        <v>0</v>
      </c>
      <c r="H65" s="79" t="n">
        <v>0</v>
      </c>
      <c r="I65" s="79" t="n">
        <v>25000</v>
      </c>
      <c r="J65" s="79" t="n">
        <v>0</v>
      </c>
      <c r="K65" s="79" t="n">
        <v>0</v>
      </c>
      <c r="L65" s="79" t="n">
        <v>4000000</v>
      </c>
      <c r="M65" s="79" t="n">
        <v>60000</v>
      </c>
      <c r="N65" s="79" t="n">
        <v>200000</v>
      </c>
      <c r="O65" s="80" t="n">
        <f aca="false">G65*8000+H65*2500000+I65*120000+J65*450000+K65*15000+L65*3000+M65*18000+N65*35000</f>
        <v>23080000000</v>
      </c>
      <c r="P65" s="78" t="s">
        <v>401</v>
      </c>
    </row>
    <row r="66" customFormat="false" ht="15.75" hidden="false" customHeight="true" outlineLevel="0" collapsed="false">
      <c r="A66" s="77" t="n">
        <v>61</v>
      </c>
      <c r="B66" s="78" t="s">
        <v>15</v>
      </c>
      <c r="C66" s="78" t="s">
        <v>14</v>
      </c>
      <c r="D66" s="78" t="s">
        <v>343</v>
      </c>
      <c r="E66" s="79" t="n">
        <v>6315</v>
      </c>
      <c r="F66" s="78" t="s">
        <v>294</v>
      </c>
      <c r="G66" s="79" t="n">
        <v>0</v>
      </c>
      <c r="H66" s="79" t="n">
        <v>0</v>
      </c>
      <c r="I66" s="79" t="n">
        <v>31575</v>
      </c>
      <c r="J66" s="79" t="n">
        <v>0</v>
      </c>
      <c r="K66" s="79" t="n">
        <v>0</v>
      </c>
      <c r="L66" s="79" t="n">
        <v>5052000</v>
      </c>
      <c r="M66" s="79" t="n">
        <v>75780</v>
      </c>
      <c r="N66" s="79" t="n">
        <v>252600</v>
      </c>
      <c r="O66" s="80" t="n">
        <f aca="false">G66*8000+H66*2500000+I66*120000+J66*450000+K66*15000+L66*3000+M66*18000+N66*35000</f>
        <v>29150040000</v>
      </c>
      <c r="P66" s="78" t="s">
        <v>401</v>
      </c>
    </row>
    <row r="67" customFormat="false" ht="15.75" hidden="false" customHeight="true" outlineLevel="0" collapsed="false">
      <c r="A67" s="77" t="n">
        <v>62</v>
      </c>
      <c r="B67" s="78" t="s">
        <v>15</v>
      </c>
      <c r="C67" s="78" t="s">
        <v>14</v>
      </c>
      <c r="D67" s="78" t="s">
        <v>344</v>
      </c>
      <c r="E67" s="79" t="n">
        <v>5719</v>
      </c>
      <c r="F67" s="78" t="s">
        <v>294</v>
      </c>
      <c r="G67" s="79" t="n">
        <v>0</v>
      </c>
      <c r="H67" s="79" t="n">
        <v>0</v>
      </c>
      <c r="I67" s="79" t="n">
        <v>28595</v>
      </c>
      <c r="J67" s="79" t="n">
        <v>0</v>
      </c>
      <c r="K67" s="79" t="n">
        <v>0</v>
      </c>
      <c r="L67" s="79" t="n">
        <v>4575200</v>
      </c>
      <c r="M67" s="79" t="n">
        <v>68628</v>
      </c>
      <c r="N67" s="79" t="n">
        <v>228760</v>
      </c>
      <c r="O67" s="80" t="n">
        <f aca="false">G67*8000+H67*2500000+I67*120000+J67*450000+K67*15000+L67*3000+M67*18000+N67*35000</f>
        <v>26398904000</v>
      </c>
      <c r="P67" s="78" t="s">
        <v>401</v>
      </c>
    </row>
    <row r="68" customFormat="false" ht="15.75" hidden="false" customHeight="true" outlineLevel="0" collapsed="false">
      <c r="A68" s="77" t="n">
        <v>63</v>
      </c>
      <c r="B68" s="78" t="s">
        <v>15</v>
      </c>
      <c r="C68" s="78" t="s">
        <v>14</v>
      </c>
      <c r="D68" s="78" t="s">
        <v>346</v>
      </c>
      <c r="E68" s="79" t="n">
        <v>954</v>
      </c>
      <c r="F68" s="78" t="s">
        <v>294</v>
      </c>
      <c r="G68" s="79" t="n">
        <v>0</v>
      </c>
      <c r="H68" s="79" t="n">
        <v>0</v>
      </c>
      <c r="I68" s="79" t="n">
        <v>4770</v>
      </c>
      <c r="J68" s="79" t="n">
        <v>0</v>
      </c>
      <c r="K68" s="79" t="n">
        <v>0</v>
      </c>
      <c r="L68" s="79" t="n">
        <v>763200</v>
      </c>
      <c r="M68" s="79" t="n">
        <v>11448</v>
      </c>
      <c r="N68" s="79" t="n">
        <v>38160</v>
      </c>
      <c r="O68" s="80" t="n">
        <f aca="false">G68*8000+H68*2500000+I68*120000+J68*450000+K68*15000+L68*3000+M68*18000+N68*35000</f>
        <v>4403664000</v>
      </c>
      <c r="P68" s="78" t="s">
        <v>401</v>
      </c>
    </row>
    <row r="69" customFormat="false" ht="15.75" hidden="false" customHeight="true" outlineLevel="0" collapsed="false">
      <c r="A69" s="77" t="n">
        <v>64</v>
      </c>
      <c r="B69" s="78" t="s">
        <v>15</v>
      </c>
      <c r="C69" s="78" t="s">
        <v>221</v>
      </c>
      <c r="D69" s="78" t="s">
        <v>348</v>
      </c>
      <c r="E69" s="79" t="n">
        <v>2445</v>
      </c>
      <c r="F69" s="78" t="s">
        <v>294</v>
      </c>
      <c r="G69" s="79" t="n">
        <v>0</v>
      </c>
      <c r="H69" s="79" t="n">
        <v>0</v>
      </c>
      <c r="I69" s="79" t="n">
        <v>12225</v>
      </c>
      <c r="J69" s="79" t="n">
        <v>0</v>
      </c>
      <c r="K69" s="79" t="n">
        <v>0</v>
      </c>
      <c r="L69" s="79" t="n">
        <v>1956000</v>
      </c>
      <c r="M69" s="79" t="n">
        <v>29340</v>
      </c>
      <c r="N69" s="79" t="n">
        <v>97800</v>
      </c>
      <c r="O69" s="80" t="n">
        <f aca="false">G69*8000+H69*2500000+I69*120000+J69*450000+K69*15000+L69*3000+M69*18000+N69*35000</f>
        <v>11286120000</v>
      </c>
      <c r="P69" s="78" t="s">
        <v>401</v>
      </c>
    </row>
    <row r="70" customFormat="false" ht="15.75" hidden="false" customHeight="true" outlineLevel="0" collapsed="false">
      <c r="A70" s="73" t="n">
        <v>65</v>
      </c>
      <c r="B70" s="74" t="s">
        <v>15</v>
      </c>
      <c r="C70" s="74" t="s">
        <v>221</v>
      </c>
      <c r="D70" s="74" t="s">
        <v>350</v>
      </c>
      <c r="E70" s="75" t="n">
        <v>584</v>
      </c>
      <c r="F70" s="74" t="s">
        <v>224</v>
      </c>
      <c r="G70" s="75" t="n">
        <v>70080</v>
      </c>
      <c r="H70" s="75" t="n">
        <v>292</v>
      </c>
      <c r="I70" s="75" t="n">
        <v>4672</v>
      </c>
      <c r="J70" s="75" t="n">
        <v>1752</v>
      </c>
      <c r="K70" s="75" t="n">
        <v>8760</v>
      </c>
      <c r="L70" s="75" t="n">
        <v>0</v>
      </c>
      <c r="M70" s="75" t="n">
        <v>0</v>
      </c>
      <c r="N70" s="75" t="n">
        <v>0</v>
      </c>
      <c r="O70" s="76" t="n">
        <f aca="false">G70*8000+H70*2500000+I70*120000+J70*450000+K70*15000+L70*3000+M70*18000+N70*35000</f>
        <v>2771080000</v>
      </c>
      <c r="P70" s="74" t="s">
        <v>400</v>
      </c>
    </row>
    <row r="71" customFormat="false" ht="15.75" hidden="false" customHeight="true" outlineLevel="0" collapsed="false">
      <c r="A71" s="73" t="n">
        <v>66</v>
      </c>
      <c r="B71" s="74" t="s">
        <v>15</v>
      </c>
      <c r="C71" s="74" t="s">
        <v>14</v>
      </c>
      <c r="D71" s="74" t="s">
        <v>351</v>
      </c>
      <c r="E71" s="75" t="n">
        <v>426</v>
      </c>
      <c r="F71" s="74" t="s">
        <v>224</v>
      </c>
      <c r="G71" s="75" t="n">
        <v>51120</v>
      </c>
      <c r="H71" s="75" t="n">
        <v>213</v>
      </c>
      <c r="I71" s="75" t="n">
        <v>3408</v>
      </c>
      <c r="J71" s="75" t="n">
        <v>1278</v>
      </c>
      <c r="K71" s="75" t="n">
        <v>6390</v>
      </c>
      <c r="L71" s="75" t="n">
        <v>0</v>
      </c>
      <c r="M71" s="75" t="n">
        <v>0</v>
      </c>
      <c r="N71" s="75" t="n">
        <v>0</v>
      </c>
      <c r="O71" s="76" t="n">
        <f aca="false">G71*8000+H71*2500000+I71*120000+J71*450000+K71*15000+L71*3000+M71*18000+N71*35000</f>
        <v>2021370000</v>
      </c>
      <c r="P71" s="74" t="s">
        <v>400</v>
      </c>
    </row>
    <row r="72" customFormat="false" ht="15.75" hidden="false" customHeight="true" outlineLevel="0" collapsed="false">
      <c r="A72" s="73" t="n">
        <v>67</v>
      </c>
      <c r="B72" s="74" t="s">
        <v>15</v>
      </c>
      <c r="C72" s="74" t="s">
        <v>14</v>
      </c>
      <c r="D72" s="74" t="s">
        <v>352</v>
      </c>
      <c r="E72" s="75" t="n">
        <v>839</v>
      </c>
      <c r="F72" s="74" t="s">
        <v>224</v>
      </c>
      <c r="G72" s="75" t="n">
        <v>100680</v>
      </c>
      <c r="H72" s="75" t="n">
        <v>419.5</v>
      </c>
      <c r="I72" s="75" t="n">
        <v>6712</v>
      </c>
      <c r="J72" s="75" t="n">
        <v>2517</v>
      </c>
      <c r="K72" s="75" t="n">
        <v>12585</v>
      </c>
      <c r="L72" s="75" t="n">
        <v>0</v>
      </c>
      <c r="M72" s="75" t="n">
        <v>0</v>
      </c>
      <c r="N72" s="75" t="n">
        <v>0</v>
      </c>
      <c r="O72" s="76" t="n">
        <f aca="false">G72*8000+H72*2500000+I72*120000+J72*450000+K72*15000+L72*3000+M72*18000+N72*35000</f>
        <v>3981055000</v>
      </c>
      <c r="P72" s="74" t="s">
        <v>400</v>
      </c>
    </row>
    <row r="73" customFormat="false" ht="15.75" hidden="false" customHeight="true" outlineLevel="0" collapsed="false">
      <c r="A73" s="73" t="n">
        <v>68</v>
      </c>
      <c r="B73" s="74" t="s">
        <v>15</v>
      </c>
      <c r="C73" s="74" t="s">
        <v>221</v>
      </c>
      <c r="D73" s="74" t="s">
        <v>354</v>
      </c>
      <c r="E73" s="75" t="n">
        <v>1571</v>
      </c>
      <c r="F73" s="74" t="s">
        <v>224</v>
      </c>
      <c r="G73" s="75" t="n">
        <v>188520</v>
      </c>
      <c r="H73" s="75" t="n">
        <v>785.5</v>
      </c>
      <c r="I73" s="75" t="n">
        <v>12568</v>
      </c>
      <c r="J73" s="75" t="n">
        <v>4713</v>
      </c>
      <c r="K73" s="75" t="n">
        <v>23565</v>
      </c>
      <c r="L73" s="75" t="n">
        <v>0</v>
      </c>
      <c r="M73" s="75" t="n">
        <v>0</v>
      </c>
      <c r="N73" s="75" t="n">
        <v>0</v>
      </c>
      <c r="O73" s="76" t="n">
        <f aca="false">G73*8000+H73*2500000+I73*120000+J73*450000+K73*15000+L73*3000+M73*18000+N73*35000</f>
        <v>7454395000</v>
      </c>
      <c r="P73" s="74" t="s">
        <v>400</v>
      </c>
    </row>
    <row r="74" customFormat="false" ht="15.75" hidden="false" customHeight="true" outlineLevel="0" collapsed="false">
      <c r="A74" s="73" t="n">
        <v>69</v>
      </c>
      <c r="B74" s="74" t="s">
        <v>15</v>
      </c>
      <c r="C74" s="74" t="s">
        <v>255</v>
      </c>
      <c r="D74" s="74" t="s">
        <v>356</v>
      </c>
      <c r="E74" s="75" t="n">
        <v>756</v>
      </c>
      <c r="F74" s="74" t="s">
        <v>224</v>
      </c>
      <c r="G74" s="75" t="n">
        <v>90720</v>
      </c>
      <c r="H74" s="75" t="n">
        <v>378</v>
      </c>
      <c r="I74" s="75" t="n">
        <v>6048</v>
      </c>
      <c r="J74" s="75" t="n">
        <v>2268</v>
      </c>
      <c r="K74" s="75" t="n">
        <v>11340</v>
      </c>
      <c r="L74" s="75" t="n">
        <v>0</v>
      </c>
      <c r="M74" s="75" t="n">
        <v>0</v>
      </c>
      <c r="N74" s="75" t="n">
        <v>0</v>
      </c>
      <c r="O74" s="76" t="n">
        <f aca="false">G74*8000+H74*2500000+I74*120000+J74*450000+K74*15000+L74*3000+M74*18000+N74*35000</f>
        <v>3587220000</v>
      </c>
      <c r="P74" s="74" t="s">
        <v>400</v>
      </c>
    </row>
    <row r="75" customFormat="false" ht="15.75" hidden="false" customHeight="true" outlineLevel="0" collapsed="false">
      <c r="A75" s="73" t="n">
        <v>70</v>
      </c>
      <c r="B75" s="74" t="s">
        <v>15</v>
      </c>
      <c r="C75" s="74" t="s">
        <v>221</v>
      </c>
      <c r="D75" s="74" t="s">
        <v>358</v>
      </c>
      <c r="E75" s="75" t="n">
        <v>1190</v>
      </c>
      <c r="F75" s="74" t="s">
        <v>224</v>
      </c>
      <c r="G75" s="75" t="n">
        <v>142800</v>
      </c>
      <c r="H75" s="75" t="n">
        <v>595</v>
      </c>
      <c r="I75" s="75" t="n">
        <v>9520</v>
      </c>
      <c r="J75" s="75" t="n">
        <v>3570</v>
      </c>
      <c r="K75" s="75" t="n">
        <v>17850</v>
      </c>
      <c r="L75" s="75" t="n">
        <v>0</v>
      </c>
      <c r="M75" s="75" t="n">
        <v>0</v>
      </c>
      <c r="N75" s="75" t="n">
        <v>0</v>
      </c>
      <c r="O75" s="76" t="n">
        <f aca="false">G75*8000+H75*2500000+I75*120000+J75*450000+K75*15000+L75*3000+M75*18000+N75*35000</f>
        <v>5646550000</v>
      </c>
      <c r="P75" s="74" t="s">
        <v>400</v>
      </c>
    </row>
    <row r="76" customFormat="false" ht="15.75" hidden="false" customHeight="true" outlineLevel="0" collapsed="false">
      <c r="A76" s="73" t="n">
        <v>71</v>
      </c>
      <c r="B76" s="74" t="s">
        <v>15</v>
      </c>
      <c r="C76" s="74" t="s">
        <v>14</v>
      </c>
      <c r="D76" s="74" t="s">
        <v>360</v>
      </c>
      <c r="E76" s="75" t="n">
        <v>2161</v>
      </c>
      <c r="F76" s="74" t="s">
        <v>224</v>
      </c>
      <c r="G76" s="75" t="n">
        <v>259320</v>
      </c>
      <c r="H76" s="75" t="n">
        <v>1080.5</v>
      </c>
      <c r="I76" s="75" t="n">
        <v>17288</v>
      </c>
      <c r="J76" s="75" t="n">
        <v>6483</v>
      </c>
      <c r="K76" s="75" t="n">
        <v>32415</v>
      </c>
      <c r="L76" s="75" t="n">
        <v>0</v>
      </c>
      <c r="M76" s="75" t="n">
        <v>0</v>
      </c>
      <c r="N76" s="75" t="n">
        <v>0</v>
      </c>
      <c r="O76" s="76" t="n">
        <f aca="false">G76*8000+H76*2500000+I76*120000+J76*450000+K76*15000+L76*3000+M76*18000+N76*35000</f>
        <v>10253945000</v>
      </c>
      <c r="P76" s="74" t="s">
        <v>400</v>
      </c>
    </row>
    <row r="77" customFormat="false" ht="15.75" hidden="false" customHeight="true" outlineLevel="0" collapsed="false">
      <c r="A77" s="73" t="n">
        <v>72</v>
      </c>
      <c r="B77" s="74" t="s">
        <v>15</v>
      </c>
      <c r="C77" s="74" t="s">
        <v>255</v>
      </c>
      <c r="D77" s="74" t="s">
        <v>361</v>
      </c>
      <c r="E77" s="75" t="n">
        <v>720</v>
      </c>
      <c r="F77" s="74" t="s">
        <v>224</v>
      </c>
      <c r="G77" s="75" t="n">
        <v>86400</v>
      </c>
      <c r="H77" s="75" t="n">
        <v>360</v>
      </c>
      <c r="I77" s="75" t="n">
        <v>5760</v>
      </c>
      <c r="J77" s="75" t="n">
        <v>2160</v>
      </c>
      <c r="K77" s="75" t="n">
        <v>10800</v>
      </c>
      <c r="L77" s="75" t="n">
        <v>0</v>
      </c>
      <c r="M77" s="75" t="n">
        <v>0</v>
      </c>
      <c r="N77" s="75" t="n">
        <v>0</v>
      </c>
      <c r="O77" s="76" t="n">
        <f aca="false">G77*8000+H77*2500000+I77*120000+J77*450000+K77*15000+L77*3000+M77*18000+N77*35000</f>
        <v>3416400000</v>
      </c>
      <c r="P77" s="74" t="s">
        <v>400</v>
      </c>
    </row>
    <row r="78" customFormat="false" ht="15.75" hidden="false" customHeight="true" outlineLevel="0" collapsed="false">
      <c r="A78" s="73" t="n">
        <v>73</v>
      </c>
      <c r="B78" s="74" t="s">
        <v>15</v>
      </c>
      <c r="C78" s="74" t="s">
        <v>255</v>
      </c>
      <c r="D78" s="74" t="s">
        <v>352</v>
      </c>
      <c r="E78" s="75" t="n">
        <v>815</v>
      </c>
      <c r="F78" s="74" t="s">
        <v>224</v>
      </c>
      <c r="G78" s="75" t="n">
        <v>97800</v>
      </c>
      <c r="H78" s="75" t="n">
        <v>407.5</v>
      </c>
      <c r="I78" s="75" t="n">
        <v>6520</v>
      </c>
      <c r="J78" s="75" t="n">
        <v>2445</v>
      </c>
      <c r="K78" s="75" t="n">
        <v>12225</v>
      </c>
      <c r="L78" s="75" t="n">
        <v>0</v>
      </c>
      <c r="M78" s="75" t="n">
        <v>0</v>
      </c>
      <c r="N78" s="75" t="n">
        <v>0</v>
      </c>
      <c r="O78" s="76" t="n">
        <f aca="false">G78*8000+H78*2500000+I78*120000+J78*450000+K78*15000+L78*3000+M78*18000+N78*35000</f>
        <v>3867175000</v>
      </c>
      <c r="P78" s="74" t="s">
        <v>400</v>
      </c>
    </row>
    <row r="79" customFormat="false" ht="15.75" hidden="false" customHeight="true" outlineLevel="0" collapsed="false">
      <c r="A79" s="73" t="n">
        <v>74</v>
      </c>
      <c r="B79" s="74" t="s">
        <v>15</v>
      </c>
      <c r="C79" s="74" t="s">
        <v>255</v>
      </c>
      <c r="D79" s="74" t="s">
        <v>362</v>
      </c>
      <c r="E79" s="75" t="n">
        <v>1501</v>
      </c>
      <c r="F79" s="74" t="s">
        <v>224</v>
      </c>
      <c r="G79" s="75" t="n">
        <v>180120</v>
      </c>
      <c r="H79" s="75" t="n">
        <v>750.5</v>
      </c>
      <c r="I79" s="75" t="n">
        <v>12008</v>
      </c>
      <c r="J79" s="75" t="n">
        <v>4503</v>
      </c>
      <c r="K79" s="75" t="n">
        <v>22515</v>
      </c>
      <c r="L79" s="75" t="n">
        <v>0</v>
      </c>
      <c r="M79" s="75" t="n">
        <v>0</v>
      </c>
      <c r="N79" s="75" t="n">
        <v>0</v>
      </c>
      <c r="O79" s="76" t="n">
        <f aca="false">G79*8000+H79*2500000+I79*120000+J79*450000+K79*15000+L79*3000+M79*18000+N79*35000</f>
        <v>7122245000</v>
      </c>
      <c r="P79" s="74" t="s">
        <v>400</v>
      </c>
    </row>
    <row r="80" customFormat="false" ht="15.75" hidden="false" customHeight="true" outlineLevel="0" collapsed="false">
      <c r="A80" s="73" t="n">
        <v>75</v>
      </c>
      <c r="B80" s="74" t="s">
        <v>15</v>
      </c>
      <c r="C80" s="74" t="s">
        <v>255</v>
      </c>
      <c r="D80" s="74" t="s">
        <v>364</v>
      </c>
      <c r="E80" s="75" t="n">
        <v>820</v>
      </c>
      <c r="F80" s="74" t="s">
        <v>224</v>
      </c>
      <c r="G80" s="75" t="n">
        <v>98400</v>
      </c>
      <c r="H80" s="75" t="n">
        <v>410</v>
      </c>
      <c r="I80" s="75" t="n">
        <v>6560</v>
      </c>
      <c r="J80" s="75" t="n">
        <v>2460</v>
      </c>
      <c r="K80" s="75" t="n">
        <v>12300</v>
      </c>
      <c r="L80" s="75" t="n">
        <v>0</v>
      </c>
      <c r="M80" s="75" t="n">
        <v>0</v>
      </c>
      <c r="N80" s="75" t="n">
        <v>0</v>
      </c>
      <c r="O80" s="76" t="n">
        <f aca="false">G80*8000+H80*2500000+I80*120000+J80*450000+K80*15000+L80*3000+M80*18000+N80*35000</f>
        <v>3890900000</v>
      </c>
      <c r="P80" s="74" t="s">
        <v>400</v>
      </c>
    </row>
    <row r="81" customFormat="false" ht="15.75" hidden="false" customHeight="true" outlineLevel="0" collapsed="false">
      <c r="A81" s="77" t="n">
        <v>76</v>
      </c>
      <c r="B81" s="78" t="s">
        <v>16</v>
      </c>
      <c r="C81" s="78" t="s">
        <v>14</v>
      </c>
      <c r="D81" s="78" t="s">
        <v>369</v>
      </c>
      <c r="E81" s="79" t="n">
        <v>7025</v>
      </c>
      <c r="F81" s="78" t="s">
        <v>294</v>
      </c>
      <c r="G81" s="79" t="n">
        <v>0</v>
      </c>
      <c r="H81" s="79" t="n">
        <v>0</v>
      </c>
      <c r="I81" s="79" t="n">
        <v>35125</v>
      </c>
      <c r="J81" s="79" t="n">
        <v>0</v>
      </c>
      <c r="K81" s="79" t="n">
        <v>0</v>
      </c>
      <c r="L81" s="79" t="n">
        <v>5620000</v>
      </c>
      <c r="M81" s="79" t="n">
        <v>84300</v>
      </c>
      <c r="N81" s="79" t="n">
        <v>281000</v>
      </c>
      <c r="O81" s="80" t="n">
        <f aca="false">G81*8000+H81*2500000+I81*120000+J81*450000+K81*15000+L81*3000+M81*18000+N81*35000</f>
        <v>32427400000</v>
      </c>
      <c r="P81" s="78" t="s">
        <v>401</v>
      </c>
    </row>
    <row r="82" customFormat="false" ht="15.75" hidden="false" customHeight="true" outlineLevel="0" collapsed="false">
      <c r="A82" s="77" t="n">
        <v>77</v>
      </c>
      <c r="B82" s="78" t="s">
        <v>16</v>
      </c>
      <c r="C82" s="78" t="s">
        <v>255</v>
      </c>
      <c r="D82" s="78" t="s">
        <v>370</v>
      </c>
      <c r="E82" s="79" t="n">
        <v>236</v>
      </c>
      <c r="F82" s="78" t="s">
        <v>294</v>
      </c>
      <c r="G82" s="79" t="n">
        <v>0</v>
      </c>
      <c r="H82" s="79" t="n">
        <v>0</v>
      </c>
      <c r="I82" s="79" t="n">
        <v>1180</v>
      </c>
      <c r="J82" s="79" t="n">
        <v>0</v>
      </c>
      <c r="K82" s="79" t="n">
        <v>0</v>
      </c>
      <c r="L82" s="79" t="n">
        <v>188800</v>
      </c>
      <c r="M82" s="79" t="n">
        <v>2832</v>
      </c>
      <c r="N82" s="79" t="n">
        <v>9440</v>
      </c>
      <c r="O82" s="80" t="n">
        <f aca="false">G82*8000+H82*2500000+I82*120000+J82*450000+K82*15000+L82*3000+M82*18000+N82*35000</f>
        <v>1089376000</v>
      </c>
      <c r="P82" s="78" t="s">
        <v>401</v>
      </c>
    </row>
    <row r="83" customFormat="false" ht="15.75" hidden="false" customHeight="true" outlineLevel="0" collapsed="false">
      <c r="A83" s="77" t="n">
        <v>78</v>
      </c>
      <c r="B83" s="78" t="s">
        <v>16</v>
      </c>
      <c r="C83" s="78" t="s">
        <v>255</v>
      </c>
      <c r="D83" s="78" t="s">
        <v>371</v>
      </c>
      <c r="E83" s="79" t="n">
        <v>521</v>
      </c>
      <c r="F83" s="78" t="s">
        <v>294</v>
      </c>
      <c r="G83" s="79" t="n">
        <v>0</v>
      </c>
      <c r="H83" s="79" t="n">
        <v>0</v>
      </c>
      <c r="I83" s="79" t="n">
        <v>2605</v>
      </c>
      <c r="J83" s="79" t="n">
        <v>0</v>
      </c>
      <c r="K83" s="79" t="n">
        <v>0</v>
      </c>
      <c r="L83" s="79" t="n">
        <v>416800</v>
      </c>
      <c r="M83" s="79" t="n">
        <v>6252</v>
      </c>
      <c r="N83" s="79" t="n">
        <v>20840</v>
      </c>
      <c r="O83" s="80" t="n">
        <f aca="false">G83*8000+H83*2500000+I83*120000+J83*450000+K83*15000+L83*3000+M83*18000+N83*35000</f>
        <v>2404936000</v>
      </c>
      <c r="P83" s="78" t="s">
        <v>401</v>
      </c>
    </row>
    <row r="84" customFormat="false" ht="15.75" hidden="false" customHeight="true" outlineLevel="0" collapsed="false">
      <c r="A84" s="77" t="n">
        <v>79</v>
      </c>
      <c r="B84" s="78" t="s">
        <v>16</v>
      </c>
      <c r="C84" s="78" t="s">
        <v>14</v>
      </c>
      <c r="D84" s="78" t="s">
        <v>373</v>
      </c>
      <c r="E84" s="79" t="n">
        <v>1297</v>
      </c>
      <c r="F84" s="78" t="s">
        <v>294</v>
      </c>
      <c r="G84" s="79" t="n">
        <v>0</v>
      </c>
      <c r="H84" s="79" t="n">
        <v>0</v>
      </c>
      <c r="I84" s="79" t="n">
        <v>6485</v>
      </c>
      <c r="J84" s="79" t="n">
        <v>0</v>
      </c>
      <c r="K84" s="79" t="n">
        <v>0</v>
      </c>
      <c r="L84" s="79" t="n">
        <v>1037600</v>
      </c>
      <c r="M84" s="79" t="n">
        <v>15564</v>
      </c>
      <c r="N84" s="79" t="n">
        <v>51880</v>
      </c>
      <c r="O84" s="80" t="n">
        <f aca="false">G84*8000+H84*2500000+I84*120000+J84*450000+K84*15000+L84*3000+M84*18000+N84*35000</f>
        <v>5986952000</v>
      </c>
      <c r="P84" s="78" t="s">
        <v>401</v>
      </c>
    </row>
    <row r="85" customFormat="false" ht="15.75" hidden="false" customHeight="true" outlineLevel="0" collapsed="false">
      <c r="A85" s="77" t="n">
        <v>80</v>
      </c>
      <c r="B85" s="78" t="s">
        <v>16</v>
      </c>
      <c r="C85" s="78" t="s">
        <v>14</v>
      </c>
      <c r="D85" s="78" t="s">
        <v>374</v>
      </c>
      <c r="E85" s="79" t="n">
        <v>1276</v>
      </c>
      <c r="F85" s="78" t="s">
        <v>294</v>
      </c>
      <c r="G85" s="79" t="n">
        <v>0</v>
      </c>
      <c r="H85" s="79" t="n">
        <v>0</v>
      </c>
      <c r="I85" s="79" t="n">
        <v>6380</v>
      </c>
      <c r="J85" s="79" t="n">
        <v>0</v>
      </c>
      <c r="K85" s="79" t="n">
        <v>0</v>
      </c>
      <c r="L85" s="79" t="n">
        <v>1020800</v>
      </c>
      <c r="M85" s="79" t="n">
        <v>15312</v>
      </c>
      <c r="N85" s="79" t="n">
        <v>51040</v>
      </c>
      <c r="O85" s="80" t="n">
        <f aca="false">G85*8000+H85*2500000+I85*120000+J85*450000+K85*15000+L85*3000+M85*18000+N85*35000</f>
        <v>5890016000</v>
      </c>
      <c r="P85" s="78" t="s">
        <v>401</v>
      </c>
    </row>
    <row r="86" customFormat="false" ht="15.75" hidden="false" customHeight="true" outlineLevel="0" collapsed="false">
      <c r="A86" s="77" t="n">
        <v>81</v>
      </c>
      <c r="B86" s="78" t="s">
        <v>16</v>
      </c>
      <c r="C86" s="78" t="s">
        <v>14</v>
      </c>
      <c r="D86" s="78" t="s">
        <v>375</v>
      </c>
      <c r="E86" s="79" t="n">
        <v>1216</v>
      </c>
      <c r="F86" s="78" t="s">
        <v>294</v>
      </c>
      <c r="G86" s="79" t="n">
        <v>0</v>
      </c>
      <c r="H86" s="79" t="n">
        <v>0</v>
      </c>
      <c r="I86" s="79" t="n">
        <v>6080</v>
      </c>
      <c r="J86" s="79" t="n">
        <v>0</v>
      </c>
      <c r="K86" s="79" t="n">
        <v>0</v>
      </c>
      <c r="L86" s="79" t="n">
        <v>972800</v>
      </c>
      <c r="M86" s="79" t="n">
        <v>14592</v>
      </c>
      <c r="N86" s="79" t="n">
        <v>48640</v>
      </c>
      <c r="O86" s="80" t="n">
        <f aca="false">G86*8000+H86*2500000+I86*120000+J86*450000+K86*15000+L86*3000+M86*18000+N86*35000</f>
        <v>5613056000</v>
      </c>
      <c r="P86" s="78" t="s">
        <v>401</v>
      </c>
    </row>
    <row r="87" customFormat="false" ht="15.75" hidden="false" customHeight="true" outlineLevel="0" collapsed="false">
      <c r="A87" s="77" t="n">
        <v>82</v>
      </c>
      <c r="B87" s="78" t="s">
        <v>16</v>
      </c>
      <c r="C87" s="78" t="s">
        <v>14</v>
      </c>
      <c r="D87" s="78" t="s">
        <v>376</v>
      </c>
      <c r="E87" s="79" t="n">
        <v>1045</v>
      </c>
      <c r="F87" s="78" t="s">
        <v>294</v>
      </c>
      <c r="G87" s="79" t="n">
        <v>0</v>
      </c>
      <c r="H87" s="79" t="n">
        <v>0</v>
      </c>
      <c r="I87" s="79" t="n">
        <v>5225</v>
      </c>
      <c r="J87" s="79" t="n">
        <v>0</v>
      </c>
      <c r="K87" s="79" t="n">
        <v>0</v>
      </c>
      <c r="L87" s="79" t="n">
        <v>836000</v>
      </c>
      <c r="M87" s="79" t="n">
        <v>12540</v>
      </c>
      <c r="N87" s="79" t="n">
        <v>41800</v>
      </c>
      <c r="O87" s="80" t="n">
        <f aca="false">G87*8000+H87*2500000+I87*120000+J87*450000+K87*15000+L87*3000+M87*18000+N87*35000</f>
        <v>4823720000</v>
      </c>
      <c r="P87" s="78" t="s">
        <v>401</v>
      </c>
    </row>
    <row r="88" customFormat="false" ht="15.75" hidden="false" customHeight="true" outlineLevel="0" collapsed="false">
      <c r="A88" s="77" t="n">
        <v>83</v>
      </c>
      <c r="B88" s="78" t="s">
        <v>16</v>
      </c>
      <c r="C88" s="78" t="s">
        <v>14</v>
      </c>
      <c r="D88" s="78" t="s">
        <v>377</v>
      </c>
      <c r="E88" s="79" t="n">
        <v>397</v>
      </c>
      <c r="F88" s="78" t="s">
        <v>294</v>
      </c>
      <c r="G88" s="79" t="n">
        <v>0</v>
      </c>
      <c r="H88" s="79" t="n">
        <v>0</v>
      </c>
      <c r="I88" s="79" t="n">
        <v>1985</v>
      </c>
      <c r="J88" s="79" t="n">
        <v>0</v>
      </c>
      <c r="K88" s="79" t="n">
        <v>0</v>
      </c>
      <c r="L88" s="79" t="n">
        <v>317600</v>
      </c>
      <c r="M88" s="79" t="n">
        <v>4764</v>
      </c>
      <c r="N88" s="79" t="n">
        <v>15880</v>
      </c>
      <c r="O88" s="80" t="n">
        <f aca="false">G88*8000+H88*2500000+I88*120000+J88*450000+K88*15000+L88*3000+M88*18000+N88*35000</f>
        <v>1832552000</v>
      </c>
      <c r="P88" s="78" t="s">
        <v>401</v>
      </c>
    </row>
    <row r="89" customFormat="false" ht="15.75" hidden="false" customHeight="true" outlineLevel="0" collapsed="false">
      <c r="A89" s="77" t="n">
        <v>84</v>
      </c>
      <c r="B89" s="78" t="s">
        <v>16</v>
      </c>
      <c r="C89" s="78" t="s">
        <v>14</v>
      </c>
      <c r="D89" s="78" t="s">
        <v>378</v>
      </c>
      <c r="E89" s="79" t="n">
        <v>2445</v>
      </c>
      <c r="F89" s="78" t="s">
        <v>294</v>
      </c>
      <c r="G89" s="79" t="n">
        <v>0</v>
      </c>
      <c r="H89" s="79" t="n">
        <v>0</v>
      </c>
      <c r="I89" s="79" t="n">
        <v>12225</v>
      </c>
      <c r="J89" s="79" t="n">
        <v>0</v>
      </c>
      <c r="K89" s="79" t="n">
        <v>0</v>
      </c>
      <c r="L89" s="79" t="n">
        <v>1956000</v>
      </c>
      <c r="M89" s="79" t="n">
        <v>29340</v>
      </c>
      <c r="N89" s="79" t="n">
        <v>97800</v>
      </c>
      <c r="O89" s="80" t="n">
        <f aca="false">G89*8000+H89*2500000+I89*120000+J89*450000+K89*15000+L89*3000+M89*18000+N89*35000</f>
        <v>11286120000</v>
      </c>
      <c r="P89" s="78" t="s">
        <v>401</v>
      </c>
    </row>
    <row r="90" customFormat="false" ht="15.75" hidden="false" customHeight="true" outlineLevel="0" collapsed="false">
      <c r="A90" s="77" t="n">
        <v>85</v>
      </c>
      <c r="B90" s="78" t="s">
        <v>16</v>
      </c>
      <c r="C90" s="78" t="s">
        <v>14</v>
      </c>
      <c r="D90" s="78" t="s">
        <v>379</v>
      </c>
      <c r="E90" s="79" t="n">
        <v>1485</v>
      </c>
      <c r="F90" s="78" t="s">
        <v>294</v>
      </c>
      <c r="G90" s="79" t="n">
        <v>0</v>
      </c>
      <c r="H90" s="79" t="n">
        <v>0</v>
      </c>
      <c r="I90" s="79" t="n">
        <v>7425</v>
      </c>
      <c r="J90" s="79" t="n">
        <v>0</v>
      </c>
      <c r="K90" s="79" t="n">
        <v>0</v>
      </c>
      <c r="L90" s="79" t="n">
        <v>1188000</v>
      </c>
      <c r="M90" s="79" t="n">
        <v>17820</v>
      </c>
      <c r="N90" s="79" t="n">
        <v>59400</v>
      </c>
      <c r="O90" s="80" t="n">
        <f aca="false">G90*8000+H90*2500000+I90*120000+J90*450000+K90*15000+L90*3000+M90*18000+N90*35000</f>
        <v>6854760000</v>
      </c>
      <c r="P90" s="78" t="s">
        <v>401</v>
      </c>
    </row>
    <row r="91" customFormat="false" ht="15.75" hidden="false" customHeight="true" outlineLevel="0" collapsed="false">
      <c r="A91" s="77" t="n">
        <v>86</v>
      </c>
      <c r="B91" s="78" t="s">
        <v>16</v>
      </c>
      <c r="C91" s="78" t="s">
        <v>14</v>
      </c>
      <c r="D91" s="78" t="s">
        <v>380</v>
      </c>
      <c r="E91" s="79" t="n">
        <v>1574</v>
      </c>
      <c r="F91" s="78" t="s">
        <v>294</v>
      </c>
      <c r="G91" s="79" t="n">
        <v>0</v>
      </c>
      <c r="H91" s="79" t="n">
        <v>0</v>
      </c>
      <c r="I91" s="79" t="n">
        <v>7870</v>
      </c>
      <c r="J91" s="79" t="n">
        <v>0</v>
      </c>
      <c r="K91" s="79" t="n">
        <v>0</v>
      </c>
      <c r="L91" s="79" t="n">
        <v>1259200</v>
      </c>
      <c r="M91" s="79" t="n">
        <v>18888</v>
      </c>
      <c r="N91" s="79" t="n">
        <v>62960</v>
      </c>
      <c r="O91" s="80" t="n">
        <f aca="false">G91*8000+H91*2500000+I91*120000+J91*450000+K91*15000+L91*3000+M91*18000+N91*35000</f>
        <v>7265584000</v>
      </c>
      <c r="P91" s="78" t="s">
        <v>401</v>
      </c>
    </row>
    <row r="92" customFormat="false" ht="15.75" hidden="false" customHeight="true" outlineLevel="0" collapsed="false">
      <c r="A92" s="77" t="n">
        <v>87</v>
      </c>
      <c r="B92" s="78" t="s">
        <v>16</v>
      </c>
      <c r="C92" s="78" t="s">
        <v>14</v>
      </c>
      <c r="D92" s="78" t="s">
        <v>381</v>
      </c>
      <c r="E92" s="79" t="n">
        <v>998</v>
      </c>
      <c r="F92" s="78" t="s">
        <v>294</v>
      </c>
      <c r="G92" s="79" t="n">
        <v>0</v>
      </c>
      <c r="H92" s="79" t="n">
        <v>0</v>
      </c>
      <c r="I92" s="79" t="n">
        <v>4990</v>
      </c>
      <c r="J92" s="79" t="n">
        <v>0</v>
      </c>
      <c r="K92" s="79" t="n">
        <v>0</v>
      </c>
      <c r="L92" s="79" t="n">
        <v>798400</v>
      </c>
      <c r="M92" s="79" t="n">
        <v>11976</v>
      </c>
      <c r="N92" s="79" t="n">
        <v>39920</v>
      </c>
      <c r="O92" s="80" t="n">
        <f aca="false">G92*8000+H92*2500000+I92*120000+J92*450000+K92*15000+L92*3000+M92*18000+N92*35000</f>
        <v>4606768000</v>
      </c>
      <c r="P92" s="78" t="s">
        <v>401</v>
      </c>
    </row>
    <row r="93" customFormat="false" ht="15.75" hidden="false" customHeight="true" outlineLevel="0" collapsed="false">
      <c r="A93" s="77" t="n">
        <v>88</v>
      </c>
      <c r="B93" s="78" t="s">
        <v>16</v>
      </c>
      <c r="C93" s="78" t="s">
        <v>14</v>
      </c>
      <c r="D93" s="78" t="s">
        <v>382</v>
      </c>
      <c r="E93" s="79" t="n">
        <v>419</v>
      </c>
      <c r="F93" s="78" t="s">
        <v>294</v>
      </c>
      <c r="G93" s="79" t="n">
        <v>0</v>
      </c>
      <c r="H93" s="79" t="n">
        <v>0</v>
      </c>
      <c r="I93" s="79" t="n">
        <v>2095</v>
      </c>
      <c r="J93" s="79" t="n">
        <v>0</v>
      </c>
      <c r="K93" s="79" t="n">
        <v>0</v>
      </c>
      <c r="L93" s="79" t="n">
        <v>335200</v>
      </c>
      <c r="M93" s="79" t="n">
        <v>5028</v>
      </c>
      <c r="N93" s="79" t="n">
        <v>16760</v>
      </c>
      <c r="O93" s="80" t="n">
        <f aca="false">G93*8000+H93*2500000+I93*120000+J93*450000+K93*15000+L93*3000+M93*18000+N93*35000</f>
        <v>1934104000</v>
      </c>
      <c r="P93" s="78" t="s">
        <v>401</v>
      </c>
    </row>
    <row r="94" customFormat="false" ht="15.75" hidden="false" customHeight="true" outlineLevel="0" collapsed="false">
      <c r="A94" s="77" t="n">
        <v>89</v>
      </c>
      <c r="B94" s="78" t="s">
        <v>16</v>
      </c>
      <c r="C94" s="78" t="s">
        <v>14</v>
      </c>
      <c r="D94" s="78" t="s">
        <v>383</v>
      </c>
      <c r="E94" s="79" t="n">
        <v>896</v>
      </c>
      <c r="F94" s="78" t="s">
        <v>294</v>
      </c>
      <c r="G94" s="79" t="n">
        <v>0</v>
      </c>
      <c r="H94" s="79" t="n">
        <v>0</v>
      </c>
      <c r="I94" s="79" t="n">
        <v>4480</v>
      </c>
      <c r="J94" s="79" t="n">
        <v>0</v>
      </c>
      <c r="K94" s="79" t="n">
        <v>0</v>
      </c>
      <c r="L94" s="79" t="n">
        <v>716800</v>
      </c>
      <c r="M94" s="79" t="n">
        <v>10752</v>
      </c>
      <c r="N94" s="79" t="n">
        <v>35840</v>
      </c>
      <c r="O94" s="80" t="n">
        <f aca="false">G94*8000+H94*2500000+I94*120000+J94*450000+K94*15000+L94*3000+M94*18000+N94*35000</f>
        <v>4135936000</v>
      </c>
      <c r="P94" s="78" t="s">
        <v>401</v>
      </c>
    </row>
    <row r="95" customFormat="false" ht="15.75" hidden="false" customHeight="true" outlineLevel="0" collapsed="false">
      <c r="A95" s="77" t="n">
        <v>90</v>
      </c>
      <c r="B95" s="78" t="s">
        <v>16</v>
      </c>
      <c r="C95" s="78" t="s">
        <v>14</v>
      </c>
      <c r="D95" s="78" t="s">
        <v>384</v>
      </c>
      <c r="E95" s="79" t="n">
        <v>845</v>
      </c>
      <c r="F95" s="78" t="s">
        <v>294</v>
      </c>
      <c r="G95" s="79" t="n">
        <v>0</v>
      </c>
      <c r="H95" s="79" t="n">
        <v>0</v>
      </c>
      <c r="I95" s="79" t="n">
        <v>4225</v>
      </c>
      <c r="J95" s="79" t="n">
        <v>0</v>
      </c>
      <c r="K95" s="79" t="n">
        <v>0</v>
      </c>
      <c r="L95" s="79" t="n">
        <v>676000</v>
      </c>
      <c r="M95" s="79" t="n">
        <v>10140</v>
      </c>
      <c r="N95" s="79" t="n">
        <v>33800</v>
      </c>
      <c r="O95" s="80" t="n">
        <f aca="false">G95*8000+H95*2500000+I95*120000+J95*450000+K95*15000+L95*3000+M95*18000+N95*35000</f>
        <v>3900520000</v>
      </c>
      <c r="P95" s="78" t="s">
        <v>401</v>
      </c>
    </row>
    <row r="96" customFormat="false" ht="15.75" hidden="false" customHeight="true" outlineLevel="0" collapsed="false">
      <c r="A96" s="77" t="n">
        <v>91</v>
      </c>
      <c r="B96" s="78" t="s">
        <v>16</v>
      </c>
      <c r="C96" s="78" t="s">
        <v>221</v>
      </c>
      <c r="D96" s="78" t="s">
        <v>385</v>
      </c>
      <c r="E96" s="79" t="n">
        <v>3046</v>
      </c>
      <c r="F96" s="78" t="s">
        <v>294</v>
      </c>
      <c r="G96" s="79" t="n">
        <v>0</v>
      </c>
      <c r="H96" s="79" t="n">
        <v>0</v>
      </c>
      <c r="I96" s="79" t="n">
        <v>15230</v>
      </c>
      <c r="J96" s="79" t="n">
        <v>0</v>
      </c>
      <c r="K96" s="79" t="n">
        <v>0</v>
      </c>
      <c r="L96" s="79" t="n">
        <v>2436800</v>
      </c>
      <c r="M96" s="79" t="n">
        <v>36552</v>
      </c>
      <c r="N96" s="79" t="n">
        <v>121840</v>
      </c>
      <c r="O96" s="80" t="n">
        <f aca="false">G96*8000+H96*2500000+I96*120000+J96*450000+K96*15000+L96*3000+M96*18000+N96*35000</f>
        <v>14060336000</v>
      </c>
      <c r="P96" s="78" t="s">
        <v>401</v>
      </c>
    </row>
    <row r="97" customFormat="false" ht="15" hidden="false" customHeight="true" outlineLevel="0" collapsed="false">
      <c r="A97" s="81" t="s">
        <v>402</v>
      </c>
      <c r="B97" s="81"/>
      <c r="C97" s="81"/>
      <c r="D97" s="81"/>
      <c r="E97" s="82" t="n">
        <f aca="false">SUM(E6:E96)</f>
        <v>183531.99</v>
      </c>
      <c r="F97" s="17"/>
      <c r="G97" s="82" t="n">
        <f aca="false">SUM(G6:G96)</f>
        <v>10102079</v>
      </c>
      <c r="H97" s="82" t="n">
        <f aca="false">SUM(H6:H96)</f>
        <v>42091.9</v>
      </c>
      <c r="I97" s="82" t="n">
        <f aca="false">SUM(I6:I96)</f>
        <v>1170212</v>
      </c>
      <c r="J97" s="82" t="n">
        <f aca="false">SUM(J6:J96)</f>
        <v>252552</v>
      </c>
      <c r="K97" s="82" t="n">
        <f aca="false">SUM(K6:K96)</f>
        <v>1262759</v>
      </c>
      <c r="L97" s="82" t="n">
        <f aca="false">SUM(L6:L96)</f>
        <v>79478400</v>
      </c>
      <c r="M97" s="82" t="n">
        <f aca="false">SUM(M6:M96)</f>
        <v>1192176</v>
      </c>
      <c r="N97" s="82" t="n">
        <f aca="false">SUM(N6:N96)</f>
        <v>3973920</v>
      </c>
      <c r="O97" s="83" t="n">
        <f aca="false">SUM(O6:O96)</f>
        <v>858043175000</v>
      </c>
      <c r="P97" s="17"/>
    </row>
  </sheetData>
  <mergeCells count="4">
    <mergeCell ref="A1:P1"/>
    <mergeCell ref="A2:P2"/>
    <mergeCell ref="A3:P3"/>
    <mergeCell ref="A97:D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2026-05-04T05:14:07Z</dcterms:created>
  <dc:creator>openpyxl</dc:creator>
  <dc:description/>
  <dc:language>en-US</dc:language>
  <cp:lastModifiedBy>user</cp:lastModifiedBy>
  <dcterms:modified xsi:type="dcterms:W3CDTF">2026-05-04T09:07:45Z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